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7.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DieseArbeitsmappe"/>
  <mc:AlternateContent xmlns:mc="http://schemas.openxmlformats.org/markup-compatibility/2006">
    <mc:Choice Requires="x15">
      <x15ac:absPath xmlns:x15ac="http://schemas.microsoft.com/office/spreadsheetml/2010/11/ac" url="\\Mac\Home\Documents\_local\BFE_StromGT\06-Tool\Plattform_GitHub_Entwicklung\StromGT-main_downloadKrp230615_1415\"/>
    </mc:Choice>
  </mc:AlternateContent>
  <xr:revisionPtr revIDLastSave="0" documentId="13_ncr:1_{96EDC3B7-863B-44C8-91F6-1522DC279AA1}" xr6:coauthVersionLast="47" xr6:coauthVersionMax="47" xr10:uidLastSave="{00000000-0000-0000-0000-000000000000}"/>
  <bookViews>
    <workbookView xWindow="675" yWindow="1560" windowWidth="27045" windowHeight="14745" activeTab="13" xr2:uid="{00000000-000D-0000-FFFF-FFFF00000000}"/>
  </bookViews>
  <sheets>
    <sheet name="Readme" sheetId="4" r:id="rId1"/>
    <sheet name="Backup_Calc_Input" sheetId="9" state="hidden" r:id="rId2"/>
    <sheet name="InputChange" sheetId="17" state="hidden" r:id="rId3"/>
    <sheet name="Grafquelle" sheetId="16" state="hidden" r:id="rId4"/>
    <sheet name="Grafiken" sheetId="15" state="hidden" r:id="rId5"/>
    <sheet name="Speisungen" sheetId="14" state="hidden" r:id="rId6"/>
    <sheet name="Unterkategorien" sheetId="13" state="hidden" r:id="rId7"/>
    <sheet name="Kategorien" sheetId="12" state="hidden" r:id="rId8"/>
    <sheet name="Zusammenfassung" sheetId="11" state="hidden" r:id="rId9"/>
    <sheet name="Roh-Resultate" sheetId="10" state="hidden" r:id="rId10"/>
    <sheet name="Baum" sheetId="8" state="hidden" r:id="rId11"/>
    <sheet name="Backup1" sheetId="18" state="hidden" r:id="rId12"/>
    <sheet name="Backup2" sheetId="19" state="hidden" r:id="rId13"/>
    <sheet name="Eingaben" sheetId="5" r:id="rId14"/>
    <sheet name="Datenbank-Geräte" sheetId="7" r:id="rId15"/>
    <sheet name="Konfiguration" sheetId="6" r:id="rId16"/>
    <sheet name="Stammdaten" sheetId="2" state="hidden" r:id="rId17"/>
    <sheet name="DB_ML_Pack" sheetId="3" state="hidden" r:id="rId18"/>
  </sheets>
  <functionGroups builtInGroupCount="19"/>
  <definedNames>
    <definedName name="_xlnm._FilterDatabase" localSheetId="11" hidden="1">Backup1!$C$14:$AG$14</definedName>
    <definedName name="_xlnm._FilterDatabase" localSheetId="12" hidden="1">Backup2!$C$14:$AG$14</definedName>
    <definedName name="_xlnm._FilterDatabase" localSheetId="13" hidden="1">Eingaben!$C$14:$AG$14</definedName>
    <definedName name="Slicer_15">#N/A</definedName>
    <definedName name="Slicer_16">#N/A</definedName>
    <definedName name="Slicer_6">#N/A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9" l="1"/>
  <c r="A9" i="18"/>
  <c r="C12" i="7"/>
  <c r="A9" i="5"/>
</calcChain>
</file>

<file path=xl/sharedStrings.xml><?xml version="1.0" encoding="utf-8"?>
<sst xmlns="http://schemas.openxmlformats.org/spreadsheetml/2006/main" count="2713" uniqueCount="1435">
  <si>
    <t>Deutsch</t>
  </si>
  <si>
    <t>Ebene</t>
  </si>
  <si>
    <t>Haupttyp</t>
  </si>
  <si>
    <t>Untertyp</t>
  </si>
  <si>
    <t>GA</t>
  </si>
  <si>
    <t>Heizung</t>
  </si>
  <si>
    <t>Kühlung</t>
  </si>
  <si>
    <t>Lüftung</t>
  </si>
  <si>
    <t>Beleuchtung</t>
  </si>
  <si>
    <t>Beschattung</t>
  </si>
  <si>
    <t>Anteil-on</t>
  </si>
  <si>
    <t>Speisungen o. EVG</t>
  </si>
  <si>
    <t>Speisung</t>
  </si>
  <si>
    <t>-</t>
  </si>
  <si>
    <t>230 VAC</t>
  </si>
  <si>
    <t>480 VAC</t>
  </si>
  <si>
    <t>24 VAC</t>
  </si>
  <si>
    <t>24 VDC</t>
  </si>
  <si>
    <t>16 VAC</t>
  </si>
  <si>
    <t>16 VDC</t>
  </si>
  <si>
    <t>andere VAC</t>
  </si>
  <si>
    <t>andere VDC</t>
  </si>
  <si>
    <t>Bus-Speisung</t>
  </si>
  <si>
    <t>Automation o. Sp.</t>
  </si>
  <si>
    <t>Kontroller</t>
  </si>
  <si>
    <t>Kontroller mit IOs</t>
  </si>
  <si>
    <t>Kontroller ohne IOs</t>
  </si>
  <si>
    <t>Modul Input</t>
  </si>
  <si>
    <t>Modul Output</t>
  </si>
  <si>
    <t>Modul I/O</t>
  </si>
  <si>
    <t>Netzwerk</t>
  </si>
  <si>
    <t>Router</t>
  </si>
  <si>
    <t>Switch</t>
  </si>
  <si>
    <t>Gateway</t>
  </si>
  <si>
    <t>Access Point</t>
  </si>
  <si>
    <t>Verstärker</t>
  </si>
  <si>
    <t>Koppler</t>
  </si>
  <si>
    <t>Feld o. Sp., m. EVG</t>
  </si>
  <si>
    <t>Bedienung/Anzeige</t>
  </si>
  <si>
    <t>Raumbediengerät</t>
  </si>
  <si>
    <t>Taster</t>
  </si>
  <si>
    <t>Taster mit LED-Feedback</t>
  </si>
  <si>
    <t>Touchpanel</t>
  </si>
  <si>
    <t>Web-Bedienung</t>
  </si>
  <si>
    <t>Sensor</t>
  </si>
  <si>
    <t>Präsenzerkennung</t>
  </si>
  <si>
    <t>Fensterüberwachung</t>
  </si>
  <si>
    <t>Taupunktüberwachung</t>
  </si>
  <si>
    <t>Lufttemperatur</t>
  </si>
  <si>
    <t>Helligkeit</t>
  </si>
  <si>
    <t>Luftqualität</t>
  </si>
  <si>
    <t>Windgeschwindigkeit</t>
  </si>
  <si>
    <t>Niederschlagserkennung</t>
  </si>
  <si>
    <t>Solarstrahlung</t>
  </si>
  <si>
    <t>Impulszähler</t>
  </si>
  <si>
    <t>Zähler</t>
  </si>
  <si>
    <t>Service-Schalter</t>
  </si>
  <si>
    <t>Lecküberwachung</t>
  </si>
  <si>
    <t>Luftdruck</t>
  </si>
  <si>
    <t>Multisensor</t>
  </si>
  <si>
    <t>Aktor</t>
  </si>
  <si>
    <t>Lichtaktor</t>
  </si>
  <si>
    <t>ImmerGA</t>
  </si>
  <si>
    <t>Sonnenschutzaktor</t>
  </si>
  <si>
    <t>Stellantrieb Sonnenschutz</t>
  </si>
  <si>
    <t>StandbyPlus</t>
  </si>
  <si>
    <t>Ventilantrieb, motorisch</t>
  </si>
  <si>
    <t>Ventilantrieb, thermisch</t>
  </si>
  <si>
    <t>Fensterantrieb</t>
  </si>
  <si>
    <t>Klappenantrieb VAV</t>
  </si>
  <si>
    <t>Brandschutzklappenantrieb</t>
  </si>
  <si>
    <t>Ventilator</t>
  </si>
  <si>
    <t>EVG</t>
  </si>
  <si>
    <t>Steckdose schaltbar</t>
  </si>
  <si>
    <t>Relais</t>
  </si>
  <si>
    <t>Bel.: Leuchte inkl. BG</t>
  </si>
  <si>
    <t>LED dimmbar</t>
  </si>
  <si>
    <t>LED konstant</t>
  </si>
  <si>
    <t>FL</t>
  </si>
  <si>
    <t>Bel.: Betriebsgerät (BG)</t>
  </si>
  <si>
    <t>EVG Dali</t>
  </si>
  <si>
    <t>EVG nichtDali</t>
  </si>
  <si>
    <t>Gebäudemanagement o. Sp.</t>
  </si>
  <si>
    <t>Management</t>
  </si>
  <si>
    <t>Monitoring</t>
  </si>
  <si>
    <t>Ausschliesslich ausserhalb GA</t>
  </si>
  <si>
    <t>Bel.: Leuchtmittel</t>
  </si>
  <si>
    <t>Wärmepumpe</t>
  </si>
  <si>
    <t>Brauchwarmwasser</t>
  </si>
  <si>
    <t>Raumheizung</t>
  </si>
  <si>
    <t>Raumkühlung</t>
  </si>
  <si>
    <t>Lüftungsanlage</t>
  </si>
  <si>
    <t>Lufterwärmung</t>
  </si>
  <si>
    <t>Luftkühlung</t>
  </si>
  <si>
    <t>_VAC_other</t>
  </si>
  <si>
    <t>_VDC_other</t>
  </si>
  <si>
    <t>30 VDC</t>
  </si>
  <si>
    <t>BO</t>
  </si>
  <si>
    <t>BO_other</t>
  </si>
  <si>
    <t>BO_24 VDC  – pot.-freier Kontakt</t>
  </si>
  <si>
    <t>BO_24 VAC – Triac</t>
  </si>
  <si>
    <t>BO_24 VDC – Triac</t>
  </si>
  <si>
    <t>BI</t>
  </si>
  <si>
    <t>BI_other</t>
  </si>
  <si>
    <t>BI_24 VDC  – pot.-freier Kontakt</t>
  </si>
  <si>
    <t>AO</t>
  </si>
  <si>
    <t>AO_other</t>
  </si>
  <si>
    <t>AO_0-10 VDC</t>
  </si>
  <si>
    <t>AO_0-5-10 VDC</t>
  </si>
  <si>
    <t>AO_1-10 VDC</t>
  </si>
  <si>
    <t>AO_2500 Ohm</t>
  </si>
  <si>
    <t>AO_4-20 mA</t>
  </si>
  <si>
    <t>AO_Ni1K</t>
  </si>
  <si>
    <t>AO_NTC10 K</t>
  </si>
  <si>
    <t>AO_NTC100 K</t>
  </si>
  <si>
    <t>AO_P1K</t>
  </si>
  <si>
    <t>AO_Pt1000</t>
  </si>
  <si>
    <t>AO_Pt1K385</t>
  </si>
  <si>
    <t>AO_PTC</t>
  </si>
  <si>
    <t>Bus</t>
  </si>
  <si>
    <t>Bus_other</t>
  </si>
  <si>
    <t>Bus_BACnet IP</t>
  </si>
  <si>
    <t>Bus_BACnet MS/TP</t>
  </si>
  <si>
    <t>Bus_Bluetooth</t>
  </si>
  <si>
    <t>Bus_CAN</t>
  </si>
  <si>
    <t>Bus_Dali</t>
  </si>
  <si>
    <t>Bus_enOcean</t>
  </si>
  <si>
    <t>Bus_Inselbus (propr. Siemens)</t>
  </si>
  <si>
    <t>Bus_KNX IP (Ethernet)</t>
  </si>
  <si>
    <t>Bus_KNX PL (powerline)</t>
  </si>
  <si>
    <t>Bus_KNX RF (radio frequency)</t>
  </si>
  <si>
    <t>Bus_KNX TP (twisted pair)</t>
  </si>
  <si>
    <t>Bus_LON</t>
  </si>
  <si>
    <t>Bus_M-Bus</t>
  </si>
  <si>
    <t>Bus_Modbus</t>
  </si>
  <si>
    <t>Bus_MP-Bus (propr. Belimo)</t>
  </si>
  <si>
    <t>Bus_RS-232</t>
  </si>
  <si>
    <t>Bus_RS-485</t>
  </si>
  <si>
    <t>Bus_SMI</t>
  </si>
  <si>
    <t>Bus_ZigBee</t>
  </si>
  <si>
    <t xml:space="preserve">Bus_Z-Wave </t>
  </si>
  <si>
    <t>Reiternamen</t>
  </si>
  <si>
    <t>Readme</t>
  </si>
  <si>
    <t>Eingaben</t>
  </si>
  <si>
    <t>Datenbank-Geräte</t>
  </si>
  <si>
    <t>Baum</t>
  </si>
  <si>
    <t>Grafiken</t>
  </si>
  <si>
    <t>Zusammenfassung</t>
  </si>
  <si>
    <t>Kategorien</t>
  </si>
  <si>
    <t>Unterkategorien</t>
  </si>
  <si>
    <t>Speisungen</t>
  </si>
  <si>
    <t>Roh-Resultate</t>
  </si>
  <si>
    <t>Konfiguration</t>
  </si>
  <si>
    <t>Gewerk</t>
  </si>
  <si>
    <t>Red</t>
  </si>
  <si>
    <t>Green</t>
  </si>
  <si>
    <t>Blue</t>
  </si>
  <si>
    <t>!!!Bitte immer mit dem "sp_aktiv=" starten und danach weitere Bedingungen einfügen</t>
  </si>
  <si>
    <t>sp_aktiv=sp_haupttyp;sp_haupttyp&lt;&gt;Bel.: Leuchtmittel;sp_haupttyp&lt;&gt;Bel.: Leuchte inkl. BG;sp_leuch_leist=leer</t>
  </si>
  <si>
    <t>&gt;</t>
  </si>
  <si>
    <t>sp_leuch_leist</t>
  </si>
  <si>
    <t>f</t>
  </si>
  <si>
    <t>sp_aktiv=sp_haupttyp;sp_haupttyp&lt;&gt;Bel.: Leuchtmittel;sp_haupttyp&lt;&gt;Bel.: Leuchte inkl. BG;sp_leuch_strom=leer</t>
  </si>
  <si>
    <t>sp_leuch_strom</t>
  </si>
  <si>
    <t>sp_aktiv=sp_haupttyp;sp_haupttyp&lt;&gt;Bel.: Leuchtmittel;sp_haupttyp&lt;&gt;Bel.: Leuchte inkl. BG;sp_leuch_ausb=leer</t>
  </si>
  <si>
    <t>sp_leuch_ausb</t>
  </si>
  <si>
    <t>sp_aktiv=sp_haupttyp;sp_haupttyp&lt;&gt;Bel.: Leuchtmittel;sp_haupttyp&lt;&gt;Bel.: Leuchte inkl. BG;sp_leuch_dimm=leer</t>
  </si>
  <si>
    <t>sp_leuch_dimm</t>
  </si>
  <si>
    <t>sp_aktiv=sp_leuch_leist;sp_leuch_leist&lt;&gt;leer;sp_leuch_strom&lt;&gt;leer;sp_leuch_ausb=leer</t>
  </si>
  <si>
    <t>=</t>
  </si>
  <si>
    <t>sp_leuch_strom/sp_leuch_leist</t>
  </si>
  <si>
    <t>sp_aktiv=sp_leuch_leist;sp_leuch_leist&lt;&gt;leer;sp_leuch_strom=leer;sp_leuch_ausb&lt;&gt;leer</t>
  </si>
  <si>
    <t>sp_leuch_ausb*sp_leuch_leist</t>
  </si>
  <si>
    <t>sp_aktiv=sp_leuch_ausb;sp_leuch_leist=leer;sp_leuch_strom&lt;&gt;leer;sp_leuch_ausb&lt;&gt;leer</t>
  </si>
  <si>
    <t>sp_leuch_strom/sp_leuch_ausb</t>
  </si>
  <si>
    <t>sp_aktiv=sp_leuch_ausb;sp_leuch_leist&lt;&gt;leer;sp_leuch_strom=leer;sp_leuch_ausb&lt;&gt;leer</t>
  </si>
  <si>
    <t>sp_aktiv=sp_leuch_strom;sp_leuch_leist=leer;sp_leuch_strom&lt;&gt;leer;sp_leuch_ausb&lt;&gt;leer</t>
  </si>
  <si>
    <t>sp_aktiv=sp_leuch_strom;sp_leuch_leist&lt;&gt;leer;sp_leuch_strom&lt;&gt;leer;sp_leuch_ausb=leer</t>
  </si>
  <si>
    <t>sp_aktiv=sp_haupttyp;sp_haupttyp=Bel.: Leuchtmittel</t>
  </si>
  <si>
    <t>sp_aktbetrhp</t>
  </si>
  <si>
    <t>sp_stbetrhp+(sp_leuch_dimm*(sp_leuch_leist-sp_stbetrhp))</t>
  </si>
  <si>
    <t>sp_stbetrhp</t>
  </si>
  <si>
    <t>sp_aktiv=sp_haupttyp;sp_haupttyp=Bel.: Leuchte inkl. BG</t>
  </si>
  <si>
    <t>sp_aktiv=sp_haupttyp;sp_haupttyp=Bel.: Betriebsgerät (BG);sp_wirkgrad=leer</t>
  </si>
  <si>
    <t>sp_wirkgrad</t>
  </si>
  <si>
    <t>sp_aktiv=sp_haupttyp;sp_haupttyp=Speisung;sp_wirkgrad=leer</t>
  </si>
  <si>
    <t>sp_aktiv=sp_haupttyp;sp_haupttyp&lt;&gt;Bel.: Leuchte inkl. BG;sp_haupttyp&lt;&gt;Bel.: Leuchtmittel</t>
  </si>
  <si>
    <t>sp_aktiv=sp_haupttyp;sp_haupttyp=Bel.: Leuchtmittel;sp_leuch_dimm=leer</t>
  </si>
  <si>
    <t>sp_aktiv=sp_haupttyp;sp_haupttyp=Bel.: Leuchte inkl. BG;sp_leuch_dimm=leer</t>
  </si>
  <si>
    <t>sp_aktiv=sp_haupttyp;sp_haupttyp=Bel.: Leuchtmittel;sp_leuch_leist=leer</t>
  </si>
  <si>
    <t>255_174_201</t>
  </si>
  <si>
    <t>sp_aktiv=sp_haupttyp;sp_haupttyp=Bel.: Leuchtmittel;sp_leuch_strom=leer;sp_leuch_leist=leer</t>
  </si>
  <si>
    <t>sp_aktiv=sp_haupttyp;sp_haupttyp=Bel.: Leuchtmittel;sp_leuch_ausb=leer;sp_leuch_leist=leer</t>
  </si>
  <si>
    <t>sp_aktiv=sp_haupttyp;sp_haupttyp=Bel.: Leuchtmittel;sp_leuch_strom=leer;sp_leuch_leist&lt;&gt;leer</t>
  </si>
  <si>
    <t>sp_aktiv=sp_haupttyp;sp_haupttyp=Bel.: Leuchtmittel;sp_leuch_ausb=leer;sp_leuch_leist&lt;&gt;leer</t>
  </si>
  <si>
    <t>sp_aktiv=sp_haupttyp;sp_haupttyp=Bel.: Leuchte inkl. BG;sp_leuch_leist=leer</t>
  </si>
  <si>
    <t>sp_aktiv=sp_haupttyp;sp_haupttyp=Bel.: Leuchte inkl. BG;sp_leuch_strom=leer;sp_leuch_leist=leer</t>
  </si>
  <si>
    <t>sp_aktiv=sp_haupttyp;sp_haupttyp=Bel.: Leuchte inkl. BG;sp_leuch_ausb=leer;sp_leuch_leist=leer</t>
  </si>
  <si>
    <t>sp_aktiv=sp_haupttyp;sp_haupttyp=Bel.: Leuchte inkl. BG;sp_leuch_strom=leer;sp_leuch_leist&lt;&gt;leer</t>
  </si>
  <si>
    <t>sp_aktiv=sp_haupttyp;sp_haupttyp=Bel.: Leuchte inkl. BG;sp_leuch_ausb=leer;sp_leuch_leist&lt;&gt;leer</t>
  </si>
  <si>
    <t>sp_aktiv=sp_leuch_leist;sp_leuch_leist&lt;&gt;leer</t>
  </si>
  <si>
    <t>sp_aktiv=sp_leuch_strom;sp_leuch_strom&lt;&gt;leer</t>
  </si>
  <si>
    <t>sp_aktiv=sp_leuch_ausb;sp_leuch_ausb&lt;&gt;leer</t>
  </si>
  <si>
    <t>sp_aktiv=sp_leuch_leist;sp_leuch_leist=leer;sp_haupttyp=Bel.: Leuchtmittel</t>
  </si>
  <si>
    <t>sp_aktiv=sp_leuch_leist;sp_leuch_leist=leer;sp_haupttyp=Bel.: Leuchte inkl. BG</t>
  </si>
  <si>
    <t>sp_aktiv=sp_haupttyp;sp_haupttyp=Bel.: Leuchtmittel;sp_leuch_strom=leer</t>
  </si>
  <si>
    <t>sp_aktiv=sp_haupttyp;sp_haupttyp=Bel.: Leuchtmittel;sp_leuch_ausb=leer</t>
  </si>
  <si>
    <t>sp_aktiv=sp_haupttyp;sp_haupttyp=Bel.: Leuchte inkl. BG;sp_leuch_strom=leer</t>
  </si>
  <si>
    <t>sp_aktiv=sp_haupttyp;sp_haupttyp=Bel.: Leuchte inkl. BG;sp_leuch_ausb=leer</t>
  </si>
  <si>
    <t>sp_aktiv=sp_gewerk_1;sp_gewerk_1=1;sp_untertyp=Ventilantrieb, motorisch</t>
  </si>
  <si>
    <t>sp_anteilon</t>
  </si>
  <si>
    <t>sp_aktiv=sp_gewerk_2;sp_gewerk_2=1;sp_untertyp=Ventilantrieb, motorisch</t>
  </si>
  <si>
    <t>sp_aktiv=sp_gewerk_1;sp_gewerk_1=1;sp_untertyp=Ventilantrieb, thermisch</t>
  </si>
  <si>
    <t>sp_aktiv=sp_gewerk_2;sp_gewerk_2=1;sp_untertyp=Ventilantrieb, thermisch</t>
  </si>
  <si>
    <t>sp_aktiv=sp_untertyp;sp_gewerk_1=1;sp_untertyp=Ventilantrieb, motorisch</t>
  </si>
  <si>
    <t>sp_aktiv=sp_untertyp;sp_gewerk_2=1;sp_untertyp=Ventilantrieb, motorisch</t>
  </si>
  <si>
    <t>sp_aktiv=sp_untertyp;sp_gewerk_1=1;sp_untertyp=Ventilantrieb, thermisch</t>
  </si>
  <si>
    <t>sp_aktiv=sp_untertyp;sp_gewerk_2=1;sp_untertyp=Ventilantrieb, thermisch</t>
  </si>
  <si>
    <t>Spaltenbreite ""Eingaben"" / Spaltenbreite ""Datenbank""</t>
  </si>
  <si>
    <t>Haupteingaben</t>
  </si>
  <si>
    <t>Spalten zum Ausblenden:</t>
  </si>
  <si>
    <t>Arial 9 //Arial 9</t>
  </si>
  <si>
    <t>Fläche</t>
  </si>
  <si>
    <t>5_33_alle_plus_Gew1</t>
  </si>
  <si>
    <t>Alle Spalten</t>
  </si>
  <si>
    <t>14//14</t>
  </si>
  <si>
    <t>Gerät</t>
  </si>
  <si>
    <t>Referenz</t>
  </si>
  <si>
    <t>sp_gernamen</t>
  </si>
  <si>
    <t>5_10</t>
  </si>
  <si>
    <t>Geräteinfo</t>
  </si>
  <si>
    <t>5.6//5.6</t>
  </si>
  <si>
    <t>Anzahl</t>
  </si>
  <si>
    <t>sp_anzahlgr</t>
  </si>
  <si>
    <t>11_14</t>
  </si>
  <si>
    <t>Topologie</t>
  </si>
  <si>
    <t>20//20</t>
  </si>
  <si>
    <t>Bezeichnung</t>
  </si>
  <si>
    <t>sp_bezeichnung</t>
  </si>
  <si>
    <t>15_16</t>
  </si>
  <si>
    <t>Geräteart</t>
  </si>
  <si>
    <t>8.14//8.14</t>
  </si>
  <si>
    <t>Hersteller</t>
  </si>
  <si>
    <t>sp_hersteller</t>
  </si>
  <si>
    <t>17_22_plus_Gew1</t>
  </si>
  <si>
    <t>Zugehörigkeit</t>
  </si>
  <si>
    <t>10.14//10.14</t>
  </si>
  <si>
    <t>sp_typenbezeich</t>
  </si>
  <si>
    <t>23_23_plus_Gew2</t>
  </si>
  <si>
    <t>Zeitanteil</t>
  </si>
  <si>
    <t>5.8//5.8</t>
  </si>
  <si>
    <t>sp_url</t>
  </si>
  <si>
    <t>24_25_plus_Gew2</t>
  </si>
  <si>
    <t>Nominalbetrieb</t>
  </si>
  <si>
    <t>11.3//11.3</t>
  </si>
  <si>
    <t>sp_blatt_lokal</t>
  </si>
  <si>
    <t>26_29_plus_Gew2</t>
  </si>
  <si>
    <t>Leistungsaufnahme</t>
  </si>
  <si>
    <t>18//18</t>
  </si>
  <si>
    <t>sp_stromartaus</t>
  </si>
  <si>
    <t>30_33_plus_Gew2</t>
  </si>
  <si>
    <t>12.2//12.2</t>
  </si>
  <si>
    <t>Topologie (Speisung)</t>
  </si>
  <si>
    <t>Hauptspeisung</t>
  </si>
  <si>
    <t>sp_stromarthsp</t>
  </si>
  <si>
    <t>12//12</t>
  </si>
  <si>
    <t>Versorgendes Gerät</t>
  </si>
  <si>
    <t>sp_hspnamen</t>
  </si>
  <si>
    <t>Weitere Speisungen</t>
  </si>
  <si>
    <t>sp_stromartwsp</t>
  </si>
  <si>
    <t>Versorgende(s) Gerät(e)</t>
  </si>
  <si>
    <t>sp_wspnamen</t>
  </si>
  <si>
    <t>15//15</t>
  </si>
  <si>
    <t>Hauptart</t>
  </si>
  <si>
    <t>sp_haupttyp</t>
  </si>
  <si>
    <t>Unterart</t>
  </si>
  <si>
    <t>sp_untertyp</t>
  </si>
  <si>
    <t>9.71//9.71</t>
  </si>
  <si>
    <t>[%]</t>
  </si>
  <si>
    <t>sp_gazugeh</t>
  </si>
  <si>
    <t>6.57//6.57</t>
  </si>
  <si>
    <t>sp_gewerk_1</t>
  </si>
  <si>
    <t>sp_gewerk_2</t>
  </si>
  <si>
    <t>sp_gewerk_3</t>
  </si>
  <si>
    <t>Beleuch-tung</t>
  </si>
  <si>
    <t>sp_gewerk_4</t>
  </si>
  <si>
    <t>Beschat-tung</t>
  </si>
  <si>
    <t>sp_gewerk_5</t>
  </si>
  <si>
    <t>8.5//8.5</t>
  </si>
  <si>
    <t>plus_gewerke</t>
  </si>
  <si>
    <t>9//9</t>
  </si>
  <si>
    <t>Nominalbetriebspunkt</t>
  </si>
  <si>
    <t>[W]</t>
  </si>
  <si>
    <t>sp_nomleist</t>
  </si>
  <si>
    <t>9.5//9.5</t>
  </si>
  <si>
    <t>Interne Leistungsaufnahme</t>
  </si>
  <si>
    <t>Aktiver Betrieb</t>
  </si>
  <si>
    <t>sp_aktbetrwsp</t>
  </si>
  <si>
    <t>Standby-Betrieb</t>
  </si>
  <si>
    <t>sp_stbetrwsp</t>
  </si>
  <si>
    <t>8.43//8.43</t>
  </si>
  <si>
    <t>Werte im ungedimmten Betrieb</t>
  </si>
  <si>
    <t>[lm]</t>
  </si>
  <si>
    <t>[lm/W]</t>
  </si>
  <si>
    <t>5.5//5.5</t>
  </si>
  <si>
    <t>ID-Meldungen</t>
  </si>
  <si>
    <t>Meldungen</t>
  </si>
  <si>
    <t>Ergebnisse</t>
  </si>
  <si>
    <t>Ebenen</t>
  </si>
  <si>
    <t>Hauptarten</t>
  </si>
  <si>
    <t>Unterarten</t>
  </si>
  <si>
    <t>Ausgabeblätter</t>
  </si>
  <si>
    <t>Französisch</t>
  </si>
  <si>
    <t>Italienisch</t>
  </si>
  <si>
    <t>Englisch</t>
  </si>
  <si>
    <t>Surface</t>
  </si>
  <si>
    <t>Superficie</t>
  </si>
  <si>
    <t>Area</t>
  </si>
  <si>
    <t>Das Tool wurde erfolgreich generiert.</t>
  </si>
  <si>
    <t>Test-Message-fr</t>
  </si>
  <si>
    <t>Test-Message-it</t>
  </si>
  <si>
    <t>Test-Message-engl</t>
  </si>
  <si>
    <t>Nicht gebraucht</t>
  </si>
  <si>
    <t>Speisungen ohne Betriebsgeräte Beleuchtung</t>
  </si>
  <si>
    <t>Alimentations sans ballasts électroniques (éclairage)</t>
  </si>
  <si>
    <t>Alimentatori o alimentatori elettronici</t>
  </si>
  <si>
    <t>Power supplies without electronic ballasts</t>
  </si>
  <si>
    <t>Alimentation</t>
  </si>
  <si>
    <t>alimentazione</t>
  </si>
  <si>
    <t>Supply</t>
  </si>
  <si>
    <t>Résumé</t>
  </si>
  <si>
    <t>Summary</t>
  </si>
  <si>
    <t>Appareil</t>
  </si>
  <si>
    <t>Dispositivo</t>
  </si>
  <si>
    <t>Device</t>
  </si>
  <si>
    <t>Automation ohne Speisungen</t>
  </si>
  <si>
    <t>Automatisation sans alimentations</t>
  </si>
  <si>
    <t>Automazione o sp.</t>
  </si>
  <si>
    <t>Automation without supplies</t>
  </si>
  <si>
    <t>Contrôleur</t>
  </si>
  <si>
    <t>controllore</t>
  </si>
  <si>
    <t>Controller</t>
  </si>
  <si>
    <t>230 VCA</t>
  </si>
  <si>
    <t>230 V CA</t>
  </si>
  <si>
    <t>230VAC</t>
  </si>
  <si>
    <t>Stromverbrauch aller Geräte (Summe über gleiche Geräte)</t>
  </si>
  <si>
    <t>Consommation électrique de tous les appareils (somme sur les mêmes appareils)</t>
  </si>
  <si>
    <t xml:space="preserve"> Power consumption of all devices (sum over same devices)</t>
  </si>
  <si>
    <t>Référence</t>
  </si>
  <si>
    <t>riferimento</t>
  </si>
  <si>
    <t>Reference</t>
  </si>
  <si>
    <t>Die selektierte Reihe im Reiter "Eingaben" liegt ausserhalb vom Eingabereich.</t>
  </si>
  <si>
    <t>La ligne sélectionnée dans l'onglet "données d'entrée" se trouve en dehors de la zone de saisie.</t>
  </si>
  <si>
    <t>The selected row in the "data input" tab is outside the input area.</t>
  </si>
  <si>
    <t>Feldgeräte ohne Speisungen, mit Betriebsgeräten Beleuchtung</t>
  </si>
  <si>
    <t>Appareils de terrain, sans alimentations, avec ballasts électroniques (éclairage)</t>
  </si>
  <si>
    <t>Campo senza raggi, con alimentatore elettronico</t>
  </si>
  <si>
    <t>Field devices without supplies, with electronic ballasts</t>
  </si>
  <si>
    <t>Module input</t>
  </si>
  <si>
    <t>Modulo di ingresso</t>
  </si>
  <si>
    <t>Input module</t>
  </si>
  <si>
    <t>480 VCA</t>
  </si>
  <si>
    <t>480 V CA</t>
  </si>
  <si>
    <t>480VAC</t>
  </si>
  <si>
    <t>Nombre</t>
  </si>
  <si>
    <t>Numero</t>
  </si>
  <si>
    <t>Amount</t>
  </si>
  <si>
    <t>Wollen Sie das Gerät löschen? (Gerät: $Warnung</t>
  </si>
  <si>
    <t>Voulez-vous supprimer l'appareil? (Appareil: $Attention</t>
  </si>
  <si>
    <t>Do you want to delete the device? (device: $Warning</t>
  </si>
  <si>
    <t>Gebäudemanagement ohne Speisungen</t>
  </si>
  <si>
    <t>Gestion sans alimentations</t>
  </si>
  <si>
    <t>Gestione degli edifici o Sp.</t>
  </si>
  <si>
    <t>Management without supplies</t>
  </si>
  <si>
    <t>Module output</t>
  </si>
  <si>
    <t>modulo di uscita</t>
  </si>
  <si>
    <t>Output module</t>
  </si>
  <si>
    <t>24 VCA</t>
  </si>
  <si>
    <t>24 V CA</t>
  </si>
  <si>
    <t>24VAC</t>
  </si>
  <si>
    <t>Verbrauch total (Gebäudetechnik) [W]</t>
  </si>
  <si>
    <t>Consommation totale (technique du bâtiment) [W]</t>
  </si>
  <si>
    <t>Total consumption (building technology) [W]</t>
  </si>
  <si>
    <t>Désignation</t>
  </si>
  <si>
    <t>Designazione</t>
  </si>
  <si>
    <t>Description</t>
  </si>
  <si>
    <t>Exclusivement hors BA</t>
  </si>
  <si>
    <t>Esclusivamente fuori GA</t>
  </si>
  <si>
    <t>Exclusively outside BACS</t>
  </si>
  <si>
    <t>Module I/O</t>
  </si>
  <si>
    <t>Modulo I/O</t>
  </si>
  <si>
    <t>24Vdc</t>
  </si>
  <si>
    <t>24Vcc</t>
  </si>
  <si>
    <t>Verbrauch total (Gebäudetechnik) [%]</t>
  </si>
  <si>
    <t>Consommation totale (technique du bâtiment) [%]</t>
  </si>
  <si>
    <t>Total consumption (building technology) [%]</t>
  </si>
  <si>
    <t>Fabricant</t>
  </si>
  <si>
    <t>Produttore</t>
  </si>
  <si>
    <t>Manufacturer</t>
  </si>
  <si>
    <t>Réseau</t>
  </si>
  <si>
    <t>rete</t>
  </si>
  <si>
    <t>Network</t>
  </si>
  <si>
    <t>16 VCA</t>
  </si>
  <si>
    <t>16 V CA</t>
  </si>
  <si>
    <t>16VAC</t>
  </si>
  <si>
    <t>GA-Verbrauch [W]</t>
  </si>
  <si>
    <t>Consommation AB [W]</t>
  </si>
  <si>
    <t>BA consumption [W]</t>
  </si>
  <si>
    <t>Désignation du produit</t>
  </si>
  <si>
    <t>designazione del tipo</t>
  </si>
  <si>
    <t>Type designation</t>
  </si>
  <si>
    <t>Wollen Sie die bestehenden Daten überschreiben?$Warnung</t>
  </si>
  <si>
    <t>Vous voulez écraser les données existantes?$Attention</t>
  </si>
  <si>
    <t>Do you want to overwrite the existing data?$Warning</t>
  </si>
  <si>
    <t>Commande/affichage</t>
  </si>
  <si>
    <t>operazione/visualizzazione</t>
  </si>
  <si>
    <t>Operation/display</t>
  </si>
  <si>
    <t>16 VCC</t>
  </si>
  <si>
    <t>16 V CC</t>
  </si>
  <si>
    <t>16VDC</t>
  </si>
  <si>
    <t>Nicht GA-Verbrauch [W]</t>
  </si>
  <si>
    <t>Consommation non AB  [W]</t>
  </si>
  <si>
    <t>Non BA consumption [W]</t>
  </si>
  <si>
    <t>URL vers la fiche technique</t>
  </si>
  <si>
    <t>URL della scheda dati</t>
  </si>
  <si>
    <t>URL to the data sheet</t>
  </si>
  <si>
    <t>Der Import wurde erfolgreich durchgefuehrt.</t>
  </si>
  <si>
    <t>L'importation a été effectuée avec succès.</t>
  </si>
  <si>
    <t>The import has been successfully completed.</t>
  </si>
  <si>
    <t>Capteur</t>
  </si>
  <si>
    <t>sensore</t>
  </si>
  <si>
    <t>autres VAC</t>
  </si>
  <si>
    <t>altri VAC</t>
  </si>
  <si>
    <t>other VACs</t>
  </si>
  <si>
    <t>Stromverbrauch pro Ebene</t>
  </si>
  <si>
    <t>Consommation d'électricité par niveau</t>
  </si>
  <si>
    <t>Power consumption per level</t>
  </si>
  <si>
    <t>Scheda tecnica locale</t>
  </si>
  <si>
    <t>Local datasheet_(link)</t>
  </si>
  <si>
    <t>Wollen Sie die bestehenden Daten löschen?$Warnung</t>
  </si>
  <si>
    <t>Voulez-vous supprimer les données existantes?$Attention</t>
  </si>
  <si>
    <t>Do you want to delete the existing data?$Warning</t>
  </si>
  <si>
    <t>Actionneur</t>
  </si>
  <si>
    <t>attuatore</t>
  </si>
  <si>
    <t>Actuator</t>
  </si>
  <si>
    <t>autres VDC</t>
  </si>
  <si>
    <t>altri VDC</t>
  </si>
  <si>
    <t>other VDCs</t>
  </si>
  <si>
    <t>Niveau</t>
  </si>
  <si>
    <t>Level</t>
  </si>
  <si>
    <t>Die Daten wurden gelöscht.</t>
  </si>
  <si>
    <t>Les données ont été supprimées.</t>
  </si>
  <si>
    <t>The data has been deleted.</t>
  </si>
  <si>
    <t>Écl. : luminaire avec BE</t>
  </si>
  <si>
    <t>Bel.: Apparecchio con BG</t>
  </si>
  <si>
    <t>Ligh.: luminaire incl. EB</t>
  </si>
  <si>
    <t>puissance du bus</t>
  </si>
  <si>
    <t>alimentazione dell'autobus</t>
  </si>
  <si>
    <t>bus power</t>
  </si>
  <si>
    <t>Die Gewerken wurden erfolgreich angepasst.</t>
  </si>
  <si>
    <t>Les métiers ont été adaptés avec succès.</t>
  </si>
  <si>
    <t>The trades were successfully adapted.</t>
  </si>
  <si>
    <t>Écl. : ballast électronique (BE)</t>
  </si>
  <si>
    <t>Bel.: Alimentatore (BG)</t>
  </si>
  <si>
    <t>Ligh.: electronic ballast (EB)</t>
  </si>
  <si>
    <t>Contrôleur avec IO</t>
  </si>
  <si>
    <t>Controller con IO</t>
  </si>
  <si>
    <t>Controller with IOs</t>
  </si>
  <si>
    <t>Das Feld "Gewerke" darf nicht leer sein.</t>
  </si>
  <si>
    <t>Le champ "métiers" ne doit pas être vide.</t>
  </si>
  <si>
    <t>The field "Trades" must not be empty.</t>
  </si>
  <si>
    <t>Gestion</t>
  </si>
  <si>
    <t>gestione</t>
  </si>
  <si>
    <t>Contrôleur sans IO</t>
  </si>
  <si>
    <t>Controller senza IO</t>
  </si>
  <si>
    <t>Controller without IOs</t>
  </si>
  <si>
    <t>Netzbezüge</t>
  </si>
  <si>
    <t>Les approvisionnements du réseau</t>
  </si>
  <si>
    <t>Supplies from the grid</t>
  </si>
  <si>
    <t>Topologie (alimentation)</t>
  </si>
  <si>
    <t>topologia (fornitura)</t>
  </si>
  <si>
    <t>Topology (supply)</t>
  </si>
  <si>
    <t>Wollen Sie die Ziel-Zeile überschreiben? (Blatt/Zeile/Gerät: $Warnung</t>
  </si>
  <si>
    <t>Voulez-vous écraser la ligne de destination ? (Feuille / ligne / appareil : $Attention</t>
  </si>
  <si>
    <t>Do you want to overwrite the target line? (Sheet / row / device: $Warning</t>
  </si>
  <si>
    <t>monitoraggio</t>
  </si>
  <si>
    <t>routeurs</t>
  </si>
  <si>
    <t>router</t>
  </si>
  <si>
    <t>routers</t>
  </si>
  <si>
    <t>Input (Jahresdurchschnitt) [W]</t>
  </si>
  <si>
    <t>Intrant (moyenne annuelle) [W]</t>
  </si>
  <si>
    <t>Input (annual average) [W]</t>
  </si>
  <si>
    <t>topologia</t>
  </si>
  <si>
    <t>Topology</t>
  </si>
  <si>
    <t xml:space="preserve">Mindestens bei einem Gerät ist der berechnete Hilfswirkungsgrad grösser als 100%. Ändern Sie die Nominalleistung, die interne Leistungsaufnahme im aktiven Betrieb via der Hauptspeisung oder den Wirkungsgrad. Oder lassen Sie die Nominalleistung weg: dann wird kein Hilfswirkungsgrad berechnet und keine Auslastungsberechnung durchgeführt. (Gerät / Feld: </t>
  </si>
  <si>
    <t xml:space="preserve">Pour au moins un appareil, le rendement auxiliaire calculé est supérieur à 100%. Modifiez la puissance nominale, la puissance interne absorbée en mode actif via l'alimentation principale ou le rendement. Ou laissez la puissance nominale de côté : dans ce cas, aucun rendement auxiliaire n'est calculé et aucun calcul d'utilisation n'est effectué. (Appareil / Champ : </t>
  </si>
  <si>
    <t xml:space="preserve">At least one device has a calculated auxiliary efficiency greater than 100%. Change the nominal power, the internal power consumption in active operation via the main supply or the efficiency. Or leave out the nominal power: then no auxiliary efficiency is calculated and no load calculation is carried out. (Device / Field: </t>
  </si>
  <si>
    <t>Écl. : ampoules</t>
  </si>
  <si>
    <t>Illuminazione: lampadine</t>
  </si>
  <si>
    <t>Illumination: bulbs</t>
  </si>
  <si>
    <t>commutateurs</t>
  </si>
  <si>
    <t>interruttori</t>
  </si>
  <si>
    <t>switches</t>
  </si>
  <si>
    <t>Auslastung [%]</t>
  </si>
  <si>
    <t>Taux de charge [%]</t>
  </si>
  <si>
    <t>Load factor [%]</t>
  </si>
  <si>
    <t xml:space="preserve">Mindestens bei einem Gerät ist der berechnete Hilfswirkungsgrad kleiner oder gleich 0%. Ändern Sie die Nominalleistung, die interne Leistungsaufnahme im aktiven Betrieb via der Hauptspeisung oder den Wirkungsgrad. Oder lassen Sie die Nominalleistung weg: dann wird kein Hilfswirkungsgrad berechnet und keine Auslastungsberechnung durchgeführt. (Gerät / Feld: </t>
  </si>
  <si>
    <t xml:space="preserve">Pour au moins un appareil, le rendement auxiliaire calculé est inférieur ou égal à 0%.. Modifiez la puissance nominale, la puissance interne absorbée en mode actif via l'alimentation principale ou le rendement. Ou laissez la puissance nominale de côté : dans ce cas, aucun rendement auxiliaire n'est calculé et aucun calcul d'utilisation n'est effectué. (Appareil / Champ : </t>
  </si>
  <si>
    <t xml:space="preserve">At least for one device, the calculated auxiliary efficiency is less than or equal to 0%. Change the nominal power, the internal power consumption in active operation via the main supply or the efficiency. Or leave out the nominal power: Then no auxiliary efficiency is calculated and no load calculation is carried out. (Device / Field: </t>
  </si>
  <si>
    <t>Pompe à chaleur</t>
  </si>
  <si>
    <t>pompa di calore</t>
  </si>
  <si>
    <t>Heat pump</t>
  </si>
  <si>
    <t>passerelle</t>
  </si>
  <si>
    <t>Portale</t>
  </si>
  <si>
    <t>Einheit (wählbar)</t>
  </si>
  <si>
    <t>Unité de mesure (sélectionnable)</t>
  </si>
  <si>
    <t>Unit (selectable)</t>
  </si>
  <si>
    <t>Alimentations</t>
  </si>
  <si>
    <t>poppate</t>
  </si>
  <si>
    <t>Supplies</t>
  </si>
  <si>
    <t>Die Bezugsfläche muss positiv sein.</t>
  </si>
  <si>
    <t>La surface de référence doit être positive.</t>
  </si>
  <si>
    <t>The reference area must be positive.</t>
  </si>
  <si>
    <t>Air handling unit</t>
  </si>
  <si>
    <t>sistema di ventilazione</t>
  </si>
  <si>
    <t>Centrale de traitement d'air</t>
  </si>
  <si>
    <t>point d'accès</t>
  </si>
  <si>
    <t>punto di accesso</t>
  </si>
  <si>
    <t>access point</t>
  </si>
  <si>
    <t>Anzeige-Auswahl</t>
  </si>
  <si>
    <t>Choix d'affichage</t>
  </si>
  <si>
    <t>Selection of display attributes</t>
  </si>
  <si>
    <t>Alimentation principale</t>
  </si>
  <si>
    <t>pasto principale</t>
  </si>
  <si>
    <t>Main supply (el. Power drawn from)</t>
  </si>
  <si>
    <t>Die Bezugsfläche ist anzugeben.</t>
  </si>
  <si>
    <t>La surface de référence doit être indiquée.</t>
  </si>
  <si>
    <t>The reference area shall be indicated.</t>
  </si>
  <si>
    <t>amplificateur</t>
  </si>
  <si>
    <t>amplificatore</t>
  </si>
  <si>
    <t>amplifier</t>
  </si>
  <si>
    <t>Speisungsbaum</t>
  </si>
  <si>
    <t>Arbre d'alimentation</t>
  </si>
  <si>
    <t>Supply tree</t>
  </si>
  <si>
    <t>Appareil d'alimentation</t>
  </si>
  <si>
    <t>Supplying device</t>
  </si>
  <si>
    <t xml:space="preserve"> Ein erforderliches Feld ist in mindestens einer Zeile nicht angegeben. (Zeile / Feld: </t>
  </si>
  <si>
    <t xml:space="preserve">Un champ requis n'est pas indiqué dans au moins une ligne. (Ligne / champ : </t>
  </si>
  <si>
    <t xml:space="preserve">A required field is not specified in at least one line. (Line / field: </t>
  </si>
  <si>
    <t>coupleur</t>
  </si>
  <si>
    <t>accoppiatore</t>
  </si>
  <si>
    <t>coupler</t>
  </si>
  <si>
    <t>Alimentations secondaires</t>
  </si>
  <si>
    <t>Secondary supplies</t>
  </si>
  <si>
    <t>Appareil(s) d'alimentation</t>
  </si>
  <si>
    <t>Supplying device(s)</t>
  </si>
  <si>
    <t xml:space="preserve">Mindestens bei einem Gerät fehlt die Angabe eines erforderlichen Feldes (Gerät / Feld:  </t>
  </si>
  <si>
    <t xml:space="preserve">Pour au moins un appareil, une indication requise manque. (Appareil / champ :  </t>
  </si>
  <si>
    <t xml:space="preserve">At least one device is missing a required entry. (Device / Field:  </t>
  </si>
  <si>
    <t>unité de contrôle de salle</t>
  </si>
  <si>
    <t>unità di controllo della stanza</t>
  </si>
  <si>
    <t>room control unit</t>
  </si>
  <si>
    <t>Grün: nicht relevant</t>
  </si>
  <si>
    <t>Vert : non significatif</t>
  </si>
  <si>
    <t>Green: not relevant</t>
  </si>
  <si>
    <t>Type principal</t>
  </si>
  <si>
    <t>tipo principale</t>
  </si>
  <si>
    <t>Main type</t>
  </si>
  <si>
    <t>Wollen Sie das Gerät zu den anderen ergänzen?$Warnung</t>
  </si>
  <si>
    <t>Voulez-vous ajouter l'appareil aux autres ?$Attention</t>
  </si>
  <si>
    <t>Do you want to add the device to the others?$Warning</t>
  </si>
  <si>
    <t>bouton</t>
  </si>
  <si>
    <t>pulsante</t>
  </si>
  <si>
    <t>button</t>
  </si>
  <si>
    <t xml:space="preserve">AB </t>
  </si>
  <si>
    <t>BA</t>
  </si>
  <si>
    <t>Type subalterne</t>
  </si>
  <si>
    <t>sottospecie</t>
  </si>
  <si>
    <t>Subtype</t>
  </si>
  <si>
    <t>Wollen Sie die Stromart zu den anderen ergänzen?$Warnung</t>
  </si>
  <si>
    <t>Voulez-vous ajouter le type actuel aux autres ?$Attention</t>
  </si>
  <si>
    <t>Do you want to add the current type to the others?$Warning</t>
  </si>
  <si>
    <t>Bouton avec retour LED</t>
  </si>
  <si>
    <t>Pulsante con feedback LED</t>
  </si>
  <si>
    <t>Button with LED feedback</t>
  </si>
  <si>
    <t>nGA</t>
  </si>
  <si>
    <t xml:space="preserve">non AB </t>
  </si>
  <si>
    <t>Non BA</t>
  </si>
  <si>
    <t>Più poppate</t>
  </si>
  <si>
    <t>Secondary supplies (el. power drawn from ...)</t>
  </si>
  <si>
    <t xml:space="preserve">Mindestens bei einem Gerät gibt es einen unzulässigen negativen Zahlenwert. (Gerät / Feld: </t>
  </si>
  <si>
    <t xml:space="preserve">Il y a une valeur numérique négative non autorisée pour au moins un appareil. (Appareil / champ : </t>
  </si>
  <si>
    <t xml:space="preserve">There is an impermissible negative numerical value for at least one device. (Device / field: </t>
  </si>
  <si>
    <t>GA/nGA</t>
  </si>
  <si>
    <t>AB/non AB</t>
  </si>
  <si>
    <t>BA/non BA</t>
  </si>
  <si>
    <t>Type d'appareil</t>
  </si>
  <si>
    <t>Device type</t>
  </si>
  <si>
    <t>Ecran tactile</t>
  </si>
  <si>
    <t>pannello touch</t>
  </si>
  <si>
    <t>touch panel</t>
  </si>
  <si>
    <t>Jährl. spez. Stromverbrauch</t>
  </si>
  <si>
    <t>annuel spéc. consommation d'énergie</t>
  </si>
  <si>
    <t>annual spec. power consumption</t>
  </si>
  <si>
    <t>Geräte-Hauptart</t>
  </si>
  <si>
    <t>Type principal d'appareil</t>
  </si>
  <si>
    <t>Device main type</t>
  </si>
  <si>
    <t xml:space="preserve">Mindestens bei einem Gerät gibt es einen Zahlenwert ausserhalb des zulässigen Bereichs. Der Wert muss &gt;= 0% und &lt;= 100% sein. (Gerät / Feld: </t>
  </si>
  <si>
    <t xml:space="preserve">Pour au moins un appareil, il y a une valeur numérique en dehors de la plage autorisée. La valeur doit être &gt;= 0% et &lt;= 100%. (Appareil / champ : </t>
  </si>
  <si>
    <t xml:space="preserve">At least one device has a numerical value outside the permissible range. The value must be &gt;= 0% and &lt;= 100%. (Device / field: </t>
  </si>
  <si>
    <t>service Web</t>
  </si>
  <si>
    <t>servizio web</t>
  </si>
  <si>
    <t>web service</t>
  </si>
  <si>
    <t>Jährl. Stromverbrauch</t>
  </si>
  <si>
    <t>annuel consommation d'énergie</t>
  </si>
  <si>
    <t>annual power consumption</t>
  </si>
  <si>
    <t>Geräte-Unterart</t>
  </si>
  <si>
    <t>Type subalterne d'appareil</t>
  </si>
  <si>
    <t>Device subtype</t>
  </si>
  <si>
    <t>détection de présence</t>
  </si>
  <si>
    <t>rilevazione di presenza</t>
  </si>
  <si>
    <t>presence detection</t>
  </si>
  <si>
    <t>Jährl. spez. Stromverbrauch als Dauerleistung</t>
  </si>
  <si>
    <t>annuel spéc. Consommation d'énergie en tant que puissance continue</t>
  </si>
  <si>
    <t>annual spec. power consumption as continuous power</t>
  </si>
  <si>
    <t>Klassierung</t>
  </si>
  <si>
    <t>Classification</t>
  </si>
  <si>
    <t>classificazione</t>
  </si>
  <si>
    <t>Riepilogo</t>
  </si>
  <si>
    <t>surveillance de fenêtre</t>
  </si>
  <si>
    <t>monitoraggio delle finestre</t>
  </si>
  <si>
    <t>window monitoring</t>
  </si>
  <si>
    <t>Jährl. Stromverbrauch als Dauerleistung</t>
  </si>
  <si>
    <t>annuel Consommation d'énergie en tant que puissance continue</t>
  </si>
  <si>
    <t>annual power consumption as continuous power</t>
  </si>
  <si>
    <t>Affiliation</t>
  </si>
  <si>
    <t>Der eingegebene Wert soll numerisch und nicht negativ sein.</t>
  </si>
  <si>
    <t>La valeur saisie doit être numérique et non négative.</t>
  </si>
  <si>
    <t>The value entered should be numeric and not negative.</t>
  </si>
  <si>
    <t>Arbre</t>
  </si>
  <si>
    <t>Albero</t>
  </si>
  <si>
    <t>Tree</t>
  </si>
  <si>
    <t>surveillance du point de rosée</t>
  </si>
  <si>
    <t>monitoraggio del punto di rugiada</t>
  </si>
  <si>
    <t>dew point monitoring</t>
  </si>
  <si>
    <t>Montant</t>
  </si>
  <si>
    <t>Automatisation des bâtiments (AB)</t>
  </si>
  <si>
    <t>appartenenza all'AG</t>
  </si>
  <si>
    <t>Building automation (BA)</t>
  </si>
  <si>
    <t>Der eingegebene Wert soll zwischen 0 % und 100 % liegen.</t>
  </si>
  <si>
    <t>La valeur saisie doit être comprise entre 0 % et 100 %.</t>
  </si>
  <si>
    <t>The value entered should be between 0% and 100%.</t>
  </si>
  <si>
    <t>Visualisierung der Ergebnisse</t>
  </si>
  <si>
    <t>visualisation des résultats</t>
  </si>
  <si>
    <t>visualizzazione dei risultati</t>
  </si>
  <si>
    <t>Results visualisation</t>
  </si>
  <si>
    <t>température de l'air</t>
  </si>
  <si>
    <t>temperatura dell'aria</t>
  </si>
  <si>
    <t>air temperature</t>
  </si>
  <si>
    <t>Input</t>
  </si>
  <si>
    <t>Métier</t>
  </si>
  <si>
    <t>commercio</t>
  </si>
  <si>
    <t>Trade</t>
  </si>
  <si>
    <t>Objektanalyse nach Kategorien</t>
  </si>
  <si>
    <t>Analyse d'objets par catégories</t>
  </si>
  <si>
    <t>Analisi degli oggetti per categorie</t>
  </si>
  <si>
    <t>Analysis according to categories</t>
  </si>
  <si>
    <t>luminosité</t>
  </si>
  <si>
    <t>luminosità</t>
  </si>
  <si>
    <t>brightness</t>
  </si>
  <si>
    <t>Output</t>
  </si>
  <si>
    <t>Gewerke</t>
  </si>
  <si>
    <t>Métiers</t>
  </si>
  <si>
    <t>mestieri</t>
  </si>
  <si>
    <t>Trades</t>
  </si>
  <si>
    <t>MsgBoxAntwort = MsgBox("Wollen Sie die Eingaben " &amp; ChrW(&amp;H00FC) &amp; "bernehmen und das Feld " &amp; ChrW(&amp;H0022) &amp; feld_name &amp; ChrW(&amp;H0022) &amp; " neu berechnen?", vbOKCancel, "Warnung")</t>
  </si>
  <si>
    <t>qualité de l'air</t>
  </si>
  <si>
    <t>qualità dell'aria</t>
  </si>
  <si>
    <t>air quality</t>
  </si>
  <si>
    <t>Verbrauch</t>
  </si>
  <si>
    <t>Consommation</t>
  </si>
  <si>
    <t>Consumption</t>
  </si>
  <si>
    <t>Chauffage</t>
  </si>
  <si>
    <t>Riscaldamento</t>
  </si>
  <si>
    <t>Heating</t>
  </si>
  <si>
    <t xml:space="preserve">Mindestens eine Referenz kommt mehrfach vor. (Referenz: </t>
  </si>
  <si>
    <t xml:space="preserve">Au moins une référence apparaît plusieurs fois. (Référence : </t>
  </si>
  <si>
    <t xml:space="preserve">At least one reference occurs several times. (Reference: </t>
  </si>
  <si>
    <t>AB</t>
  </si>
  <si>
    <t>vitesse du vent</t>
  </si>
  <si>
    <t>velocità del vento</t>
  </si>
  <si>
    <t>wind speed</t>
  </si>
  <si>
    <t>Verbrauch aktiv</t>
  </si>
  <si>
    <t>Consommation en mode actif</t>
  </si>
  <si>
    <t>Consumption active mode</t>
  </si>
  <si>
    <t>Refroidissement</t>
  </si>
  <si>
    <t>raffreddamento</t>
  </si>
  <si>
    <t>Cooling</t>
  </si>
  <si>
    <t>n</t>
  </si>
  <si>
    <t>nBA</t>
  </si>
  <si>
    <t>détection des précipitations</t>
  </si>
  <si>
    <t>rilevamento delle precipitazioni</t>
  </si>
  <si>
    <t>precipitation detection</t>
  </si>
  <si>
    <t>Verbrauch Standby</t>
  </si>
  <si>
    <t>Consommation en veille</t>
  </si>
  <si>
    <t>Consumption standby mode</t>
  </si>
  <si>
    <t>Ventilation</t>
  </si>
  <si>
    <t>ventilazione</t>
  </si>
  <si>
    <t>Mindestens eine Speisung ist anzugegeben.</t>
  </si>
  <si>
    <t>Au moins une alimentation doit être indiquée.</t>
  </si>
  <si>
    <t>At least one power supply shall be indicated.</t>
  </si>
  <si>
    <t>Komponente</t>
  </si>
  <si>
    <t>composant</t>
  </si>
  <si>
    <t>componente</t>
  </si>
  <si>
    <t>radiation solaire</t>
  </si>
  <si>
    <t>radiazione solare</t>
  </si>
  <si>
    <t>solar radiation</t>
  </si>
  <si>
    <t>Stromart</t>
  </si>
  <si>
    <t>Types de courant</t>
  </si>
  <si>
    <t xml:space="preserve">Type of current </t>
  </si>
  <si>
    <t>Éclairage</t>
  </si>
  <si>
    <t>illuminazione</t>
  </si>
  <si>
    <t>Lighting</t>
  </si>
  <si>
    <t xml:space="preserve">Mindestens bei einem Gerät hat ein Mehrfachfeld nicht genügend Einträge (Gerät / Feld: </t>
  </si>
  <si>
    <t xml:space="preserve">Pour au moins un appareil, un champ multiple n'a pas assez d'entrées. (Appareil / champ : </t>
  </si>
  <si>
    <t xml:space="preserve">At least for one device, a multiple field does not have enough entries. (Device / field: </t>
  </si>
  <si>
    <t>compteur d'impulsions</t>
  </si>
  <si>
    <t>contatore di impulsi</t>
  </si>
  <si>
    <t>pulse counter</t>
  </si>
  <si>
    <t>St.</t>
  </si>
  <si>
    <t>pc.</t>
  </si>
  <si>
    <t xml:space="preserve">Mindestens bei einem Gerät ist ein Eintrag eines Mehrfachfeldes nicht nummerisch (Gerät / Feld / Eintrag-Nummer: </t>
  </si>
  <si>
    <t>Pour au moins un appareil, une entrée d'un champ multiple n'est pas numérique. (Appareil / champ / numéro d'entrée :</t>
  </si>
  <si>
    <t>At least for one device, an entry of a multiple field is not numeric. (Device / field / entry number:</t>
  </si>
  <si>
    <t>repas principal</t>
  </si>
  <si>
    <t>Main supply</t>
  </si>
  <si>
    <t>comptoir</t>
  </si>
  <si>
    <t>contatore</t>
  </si>
  <si>
    <t>counter</t>
  </si>
  <si>
    <t>Ombrage</t>
  </si>
  <si>
    <t>ombreggiatura</t>
  </si>
  <si>
    <t>Shading</t>
  </si>
  <si>
    <t xml:space="preserve">Mindestens ein Gerät verweist auf sich selbst statt auf eine anderes Gerät. (Gerät / Feld: </t>
  </si>
  <si>
    <t xml:space="preserve">Au moins un appareil fait référence à lui-même plutôt qu'à un autre appareil. (Appareil / champ : </t>
  </si>
  <si>
    <t xml:space="preserve">At least one device refers to itself instead of another device. (Device / field: </t>
  </si>
  <si>
    <t>Allg. Info</t>
  </si>
  <si>
    <t>Informations générales</t>
  </si>
  <si>
    <t>Informazioni generali</t>
  </si>
  <si>
    <t>General Information</t>
  </si>
  <si>
    <t>Teilsumme</t>
  </si>
  <si>
    <t>Sous-total</t>
  </si>
  <si>
    <t>Subtotal</t>
  </si>
  <si>
    <t xml:space="preserve">Mindestens ein Speisungs-Gerät hat keine gespiesenen Endgeräte (Gerät: </t>
  </si>
  <si>
    <t xml:space="preserve">Au moins un appareil d'alimentation n'a pas de terminaux alimentés. (Appareil : </t>
  </si>
  <si>
    <t xml:space="preserve">At least one supply device has no powered terminals. (Device: </t>
  </si>
  <si>
    <t>alimentation</t>
  </si>
  <si>
    <t>comptoir de service</t>
  </si>
  <si>
    <t>banco di servizio</t>
  </si>
  <si>
    <t>service counter</t>
  </si>
  <si>
    <t>Nominal  power (output)</t>
  </si>
  <si>
    <t xml:space="preserve">Mindestens bei einem Gerät passt die Stromart der Hauptspeisung nicht zu den von der gewählten Speisung gelieferten Stromarten. (Gerät / Feld: </t>
  </si>
  <si>
    <t xml:space="preserve">Pour au moins un appareil, le type de courant de l'alimentation principale ne correspond pas au type de courant fourni par l'alimentation sélectionnée. (Appareil / champ : </t>
  </si>
  <si>
    <t xml:space="preserve">For at least one device, the current type of the main supply does not match the current types supplied by the selected supply. (Device / field: </t>
  </si>
  <si>
    <t>surveillance des fuites</t>
  </si>
  <si>
    <t>monitoraggio perdite</t>
  </si>
  <si>
    <t>leak monitoring</t>
  </si>
  <si>
    <t>Rendement à la puissance nominale</t>
  </si>
  <si>
    <t>Efficiency at nominal power</t>
  </si>
  <si>
    <t xml:space="preserve">Mindestens bei einem Gerät passt die Stromart einer weiteren Speisung nicht zu den von der gewählten Speisung gelieferten Stromarten. (Gerät / Feld: </t>
  </si>
  <si>
    <t xml:space="preserve">Pour au moins un appareil, le type de courant d'une alimentation secondaire ne correspond pas au type de courant fourni par l'alimentation sélectionnée. (Appareil / champ : </t>
  </si>
  <si>
    <t xml:space="preserve">For at least one device, the current type of a secondary power supply does not match the current types supplied by the selected supply. (Device / field : </t>
  </si>
  <si>
    <t>**Verbrauch</t>
  </si>
  <si>
    <t>**Consommation</t>
  </si>
  <si>
    <t>**Consumo</t>
  </si>
  <si>
    <t>Summe</t>
  </si>
  <si>
    <t>Total</t>
  </si>
  <si>
    <t>Provenant de l'alimentation principale</t>
  </si>
  <si>
    <t xml:space="preserve">Mindestens bei einem Gerät ergibt die Summe der Gewerkszugehörigkeiten nicht 100%. (Gerät / Feld: </t>
  </si>
  <si>
    <t xml:space="preserve">Pour au moins un appareil, la somme des appartenances métieres n'est pas de 100%. (Appareil / Champ : </t>
  </si>
  <si>
    <t>At least for one device, the sum of the trade affiliations does not add up to 100%.</t>
  </si>
  <si>
    <t>Nominalleistung</t>
  </si>
  <si>
    <t>puissance nominale</t>
  </si>
  <si>
    <t>potenza nominale</t>
  </si>
  <si>
    <t>Nominal power</t>
  </si>
  <si>
    <t>pression de l'air</t>
  </si>
  <si>
    <t>pressione dell'aria</t>
  </si>
  <si>
    <t>air pressure</t>
  </si>
  <si>
    <t>Auswertung nach Geräte-Hauptart und Ebene</t>
  </si>
  <si>
    <t>Analyse par type principal d'appareil et par niveau</t>
  </si>
  <si>
    <t>Evaluation by device main type and level</t>
  </si>
  <si>
    <t>Provenant des alimentations secondaires</t>
  </si>
  <si>
    <t xml:space="preserve">Mindestens bei einem Gerät ist die GA-Zugehörigkeit nicht korrekt angegeben. Zulässig ist der Wertebereich 0% bis 100% sowie die Werte "Standby", "StandbyPlus", "Bandlast", "ImmerGA". (Gerät / Feld: </t>
  </si>
  <si>
    <t xml:space="preserve">Pour au moins un appareil, l'appartenance à AG n'est pas indiquée correctement. La plage de valeurs de 0% à 100% est autorisée, ainsi que les valeurs "Standby", "StandbyPlus", "ChargeBande", "ToujoursAG". (Appareil / Champ : </t>
  </si>
  <si>
    <t xml:space="preserve">For at least one device, the BA affiliation is not correctly specified. The value range 0% to 100% as well as the values "Standby", "StandbyPlus", "BandLoad", "AlwaysBA" are permissible. (Device / Field: </t>
  </si>
  <si>
    <t>Wirkungsgrad-on</t>
  </si>
  <si>
    <t>efficacité sur</t>
  </si>
  <si>
    <t>efficienza attiva</t>
  </si>
  <si>
    <t>Efficiency rate-on</t>
  </si>
  <si>
    <t>multicapteur</t>
  </si>
  <si>
    <t>multisensore</t>
  </si>
  <si>
    <t>multisensor</t>
  </si>
  <si>
    <t>Auswertung nach Geräte-Unterart</t>
  </si>
  <si>
    <t>Analyse par type subalterne d'appareil</t>
  </si>
  <si>
    <t>Evaluation by device subtype</t>
  </si>
  <si>
    <t>Leistungs-aufnahme</t>
  </si>
  <si>
    <t>Consommation électrique</t>
  </si>
  <si>
    <t>prestazione</t>
  </si>
  <si>
    <t>Power consumption</t>
  </si>
  <si>
    <t>Komponentenart</t>
  </si>
  <si>
    <t>type de composant</t>
  </si>
  <si>
    <t>tipo di componente</t>
  </si>
  <si>
    <t>actionneur de lumière</t>
  </si>
  <si>
    <t>attuatore luce</t>
  </si>
  <si>
    <t>light actuator</t>
  </si>
  <si>
    <t xml:space="preserve">Die Werte zu Input, Output und Verbräuchen sind für ein einzelnes Gerät. Leistungswerte (W, W/m2) sind Dauerleistung über ein Jahr. </t>
  </si>
  <si>
    <t>Les valeurs d'entrée, de sortie et de consommation sont données pour un seul appareil. Les valeurs de puissance (W, W/m2) correspondent à la puissance continue sur une année.</t>
  </si>
  <si>
    <t>Input, output and consumption values are for a single device. Power values (W, W/m2) are continuous power over one year.</t>
  </si>
  <si>
    <t>GA-Sum</t>
  </si>
  <si>
    <t>BA-Total</t>
  </si>
  <si>
    <t>actionneur de protection solaire</t>
  </si>
  <si>
    <t>attuatore di protezione solare</t>
  </si>
  <si>
    <t>sun protection actuator</t>
  </si>
  <si>
    <t>lighting_dimminglevel</t>
  </si>
  <si>
    <t>somme GA</t>
  </si>
  <si>
    <t>Somma GA</t>
  </si>
  <si>
    <t>moteur de protection solaire</t>
  </si>
  <si>
    <t>Attuatore di protezione solare</t>
  </si>
  <si>
    <t>motor  for sun protection</t>
  </si>
  <si>
    <t>Totale</t>
  </si>
  <si>
    <t>Valeurs en service non atténué</t>
  </si>
  <si>
    <t>Valori in funzionamento non oscurato</t>
  </si>
  <si>
    <t>Values in unattenuated operation</t>
  </si>
  <si>
    <t>Type of devices</t>
  </si>
  <si>
    <t>Entraînement de soupape, motorisé</t>
  </si>
  <si>
    <t>Comando valvole, motorizzato</t>
  </si>
  <si>
    <t>Valve drive, motorized</t>
  </si>
  <si>
    <t>Direkt</t>
  </si>
  <si>
    <t>Direct</t>
  </si>
  <si>
    <t>Diretto</t>
  </si>
  <si>
    <t>Ansteuerung</t>
  </si>
  <si>
    <t>contrôle</t>
  </si>
  <si>
    <t>controllo</t>
  </si>
  <si>
    <t>Control</t>
  </si>
  <si>
    <t>Entraînement de soupape, thermique</t>
  </si>
  <si>
    <t>Comando valvole, termico</t>
  </si>
  <si>
    <t>Valve drive, thermal</t>
  </si>
  <si>
    <t>Indirekt</t>
  </si>
  <si>
    <t>Indirect</t>
  </si>
  <si>
    <t>Indiretto</t>
  </si>
  <si>
    <t>Condividere su</t>
  </si>
  <si>
    <t>lecteur de fenêtre</t>
  </si>
  <si>
    <t>azionamento della finestra</t>
  </si>
  <si>
    <t>window drive</t>
  </si>
  <si>
    <t>Temps</t>
  </si>
  <si>
    <t>Time</t>
  </si>
  <si>
    <t>Entraînement de registre VAV</t>
  </si>
  <si>
    <t>Azionamento serranda VAV</t>
  </si>
  <si>
    <t>Damper drive VAV</t>
  </si>
  <si>
    <t>Durchschnitt</t>
  </si>
  <si>
    <t>Moyen</t>
  </si>
  <si>
    <t>Average</t>
  </si>
  <si>
    <t>Consumo di energia</t>
  </si>
  <si>
    <t>entraînement de clapet coupe-feu</t>
  </si>
  <si>
    <t>azionamento della serranda tagliafuoco</t>
  </si>
  <si>
    <t>fire damper drive</t>
  </si>
  <si>
    <t>GA ohne Speisung</t>
  </si>
  <si>
    <t>AB sans alimentation</t>
  </si>
  <si>
    <t>BA without supplies</t>
  </si>
  <si>
    <t>emissione di luce</t>
  </si>
  <si>
    <t xml:space="preserve">Eine valide Hauptspeisung ist anzugegeben  (Gerät / Feld: </t>
  </si>
  <si>
    <t xml:space="preserve">Valide alimentation doit être indiquée. (Appareil / champ : </t>
  </si>
  <si>
    <t xml:space="preserve">Valid power supply shall be indicated. (Device / field: </t>
  </si>
  <si>
    <t>ventilateur</t>
  </si>
  <si>
    <t>fan</t>
  </si>
  <si>
    <t>nGA ohne Speisung</t>
  </si>
  <si>
    <t>non AB sans alimentation</t>
  </si>
  <si>
    <t>non BA without supplies</t>
  </si>
  <si>
    <t>ECG</t>
  </si>
  <si>
    <t>GA total</t>
  </si>
  <si>
    <t>AB total</t>
  </si>
  <si>
    <t>BA total</t>
  </si>
  <si>
    <t>Point de service nominal</t>
  </si>
  <si>
    <t>punto di lavoro nominale</t>
  </si>
  <si>
    <t>Nominal operating point</t>
  </si>
  <si>
    <t>Prise commutable</t>
  </si>
  <si>
    <t>Presa commutabile</t>
  </si>
  <si>
    <t>Socket switchable</t>
  </si>
  <si>
    <t>nGA total</t>
  </si>
  <si>
    <t>non AB total</t>
  </si>
  <si>
    <t>non BA total</t>
  </si>
  <si>
    <t>Service nominal</t>
  </si>
  <si>
    <t>Lavoro nominale</t>
  </si>
  <si>
    <t>Nominal operating</t>
  </si>
  <si>
    <t>relais</t>
  </si>
  <si>
    <t>relè</t>
  </si>
  <si>
    <t>relay</t>
  </si>
  <si>
    <t>GA Speisung</t>
  </si>
  <si>
    <t>AB alimentation</t>
  </si>
  <si>
    <t>BA supplies</t>
  </si>
  <si>
    <t xml:space="preserve">Consommation électrique interne </t>
  </si>
  <si>
    <t>Consumo energetico interno</t>
  </si>
  <si>
    <t>Internal power consumption</t>
  </si>
  <si>
    <t>LED dimmable</t>
  </si>
  <si>
    <t>LED dimmerabile</t>
  </si>
  <si>
    <t>nGA Speisung</t>
  </si>
  <si>
    <t>non AB alimentation</t>
  </si>
  <si>
    <t>non BA supplies</t>
  </si>
  <si>
    <t xml:space="preserve">Consommation </t>
  </si>
  <si>
    <t>Consumo energetico</t>
  </si>
  <si>
    <t>Floride</t>
  </si>
  <si>
    <t>GA mit Speisung</t>
  </si>
  <si>
    <t>AB avec alimentation</t>
  </si>
  <si>
    <t>BA with supplies</t>
  </si>
  <si>
    <t>éclairage</t>
  </si>
  <si>
    <t>EVG Dalí</t>
  </si>
  <si>
    <t>EVG Dalì</t>
  </si>
  <si>
    <t>nGA mit Speisung</t>
  </si>
  <si>
    <t>non AB avec alimentation</t>
  </si>
  <si>
    <t>non BA with supplies</t>
  </si>
  <si>
    <t>Mode active</t>
  </si>
  <si>
    <t>Operazione_attiva</t>
  </si>
  <si>
    <t>Active mode</t>
  </si>
  <si>
    <t>ECG pas Dali</t>
  </si>
  <si>
    <t>ECG non Dalì</t>
  </si>
  <si>
    <t>ECG not Dali</t>
  </si>
  <si>
    <t>Mode veille</t>
  </si>
  <si>
    <t>Standby mode</t>
  </si>
  <si>
    <t>ohne Speisungen</t>
  </si>
  <si>
    <t>sans alimentations</t>
  </si>
  <si>
    <t>without supplies</t>
  </si>
  <si>
    <t>Auswerten</t>
  </si>
  <si>
    <t>Évaluer</t>
  </si>
  <si>
    <t>Inizia la valutazione</t>
  </si>
  <si>
    <t>Evaluate</t>
  </si>
  <si>
    <t>LED constante</t>
  </si>
  <si>
    <t>LED costante</t>
  </si>
  <si>
    <t>LED constant</t>
  </si>
  <si>
    <t>nach Geräteart</t>
  </si>
  <si>
    <t>par type d'appareil</t>
  </si>
  <si>
    <t>by device type</t>
  </si>
  <si>
    <t>Rückgängig</t>
  </si>
  <si>
    <t>Annuler</t>
  </si>
  <si>
    <t>Undo</t>
  </si>
  <si>
    <t>eau chaude domestique</t>
  </si>
  <si>
    <t>acqua calda sanitaria</t>
  </si>
  <si>
    <t>domestic hot water</t>
  </si>
  <si>
    <t>nach Geräteart/-unterart</t>
  </si>
  <si>
    <t>par type/sous-type d'appareil</t>
  </si>
  <si>
    <t>by device type/subtype</t>
  </si>
  <si>
    <t>Zurücksetzen</t>
  </si>
  <si>
    <t>Réinitialiser</t>
  </si>
  <si>
    <t>Reset</t>
  </si>
  <si>
    <t>réchauffement de l'espace</t>
  </si>
  <si>
    <t>riscaldamento degli ambienti</t>
  </si>
  <si>
    <t>space heating</t>
  </si>
  <si>
    <t>und Gewerk</t>
  </si>
  <si>
    <t>et le métier</t>
  </si>
  <si>
    <t>and trade</t>
  </si>
  <si>
    <t>Links zu Datenblättern erstellen</t>
  </si>
  <si>
    <t>Créer des liens vers des fiches techniques</t>
  </si>
  <si>
    <t>Creare collegamenti a schede tecniche</t>
  </si>
  <si>
    <t>Create links to data sheets</t>
  </si>
  <si>
    <t>refroidissement de l'espace</t>
  </si>
  <si>
    <t>raffreddamento degli ambienti</t>
  </si>
  <si>
    <t>space cooling</t>
  </si>
  <si>
    <t>nach Gewerk</t>
  </si>
  <si>
    <t>par le métier</t>
  </si>
  <si>
    <t>by trade</t>
  </si>
  <si>
    <t>Links zu Datenblättern löschen</t>
  </si>
  <si>
    <t>Supprimer les liens vers les fiches techniques</t>
  </si>
  <si>
    <t>Elimina i collegamenti ai fogli dati</t>
  </si>
  <si>
    <t>Delete links to data sheets</t>
  </si>
  <si>
    <t>mit Speisungen</t>
  </si>
  <si>
    <t>avec alimentations</t>
  </si>
  <si>
    <t>with supplies</t>
  </si>
  <si>
    <t>Aktualisieren</t>
  </si>
  <si>
    <t>Mettre à jour</t>
  </si>
  <si>
    <t>Aggiornare</t>
  </si>
  <si>
    <t>Refresh</t>
  </si>
  <si>
    <t>chauffage à air</t>
  </si>
  <si>
    <t>riscaldamento ad aria</t>
  </si>
  <si>
    <t>air heating</t>
  </si>
  <si>
    <t>Summe Durchschnittswerte</t>
  </si>
  <si>
    <t>Somme des moyennes</t>
  </si>
  <si>
    <t>Sum of averages</t>
  </si>
  <si>
    <t>Löschen</t>
  </si>
  <si>
    <t>Supprimer</t>
  </si>
  <si>
    <t>Spegnere</t>
  </si>
  <si>
    <t>Delete</t>
  </si>
  <si>
    <t>refroidissement par air</t>
  </si>
  <si>
    <t>aria condizionata</t>
  </si>
  <si>
    <t>air cooling</t>
  </si>
  <si>
    <t>Summe total</t>
  </si>
  <si>
    <t>Somme totale</t>
  </si>
  <si>
    <t>Total sum</t>
  </si>
  <si>
    <t>Lisez-moi</t>
  </si>
  <si>
    <t>leggimi</t>
  </si>
  <si>
    <t>Hauptspeisungen</t>
  </si>
  <si>
    <t>Alimentations principal</t>
  </si>
  <si>
    <t>Données d'entrée</t>
  </si>
  <si>
    <t>ingressi</t>
  </si>
  <si>
    <t>Input data</t>
  </si>
  <si>
    <t>Base de données d'appareils</t>
  </si>
  <si>
    <t>dispositivi_database</t>
  </si>
  <si>
    <t>Database of devices</t>
  </si>
  <si>
    <t>Graphiques</t>
  </si>
  <si>
    <t>grafica</t>
  </si>
  <si>
    <t>Charts</t>
  </si>
  <si>
    <t>Catégories</t>
  </si>
  <si>
    <t>categorie</t>
  </si>
  <si>
    <t>Categories</t>
  </si>
  <si>
    <t>Standby</t>
  </si>
  <si>
    <t>Sous-catégories</t>
  </si>
  <si>
    <t>sottocategorie</t>
  </si>
  <si>
    <t>Subcategories</t>
  </si>
  <si>
    <t>ToujoursAB</t>
  </si>
  <si>
    <t>AlwaysBA</t>
  </si>
  <si>
    <t>Bandlast</t>
  </si>
  <si>
    <t xml:space="preserve">ChargeBande </t>
  </si>
  <si>
    <t>BandLoad</t>
  </si>
  <si>
    <t>Résultats bruts</t>
  </si>
  <si>
    <t>risultati grezzi</t>
  </si>
  <si>
    <t>Detailed results</t>
  </si>
  <si>
    <t>Configuration</t>
  </si>
  <si>
    <t>configurazione</t>
  </si>
  <si>
    <t>Auswertung nach Geräte-Hauptart (absolute Werte)</t>
  </si>
  <si>
    <t>Analyse par type principal d'appareil (valeurs absolues)</t>
  </si>
  <si>
    <t>Evaluation based on device main type (absolute values)</t>
  </si>
  <si>
    <t>Ein-/ausblenden:</t>
  </si>
  <si>
    <t>Afficher/masquer:</t>
  </si>
  <si>
    <t>Mostra nascondi</t>
  </si>
  <si>
    <t>Show/hide:</t>
  </si>
  <si>
    <t>Auswertung nach Geräte-Hauptart (relative Werte)</t>
  </si>
  <si>
    <t>Analyse par type principal d'appareil (valeurs relatives)</t>
  </si>
  <si>
    <t>Evaluation based on device main type (relative values)</t>
  </si>
  <si>
    <t>Legende</t>
  </si>
  <si>
    <t>Légende</t>
  </si>
  <si>
    <t>Leggenda</t>
  </si>
  <si>
    <t>Legend</t>
  </si>
  <si>
    <t>Auswertung Geräte-Ebene</t>
  </si>
  <si>
    <t>Analyse par niveau d'appareil</t>
  </si>
  <si>
    <t>Evaluation based on device level</t>
  </si>
  <si>
    <t>Kopfzeilen</t>
  </si>
  <si>
    <t>En-têtes</t>
  </si>
  <si>
    <t>Intestazioni (informazioni)</t>
  </si>
  <si>
    <t>Headers</t>
  </si>
  <si>
    <t>Benötigte Werte</t>
  </si>
  <si>
    <t>Valeurs requises</t>
  </si>
  <si>
    <t>Valori richiesti</t>
  </si>
  <si>
    <t>Required inputs</t>
  </si>
  <si>
    <t>Eingaben wurden geändert -&gt; Neuberechnung erforderlich</t>
  </si>
  <si>
    <t>Les entrées ont été modifiées -&gt; recalcul requis</t>
  </si>
  <si>
    <t>Input data have been changed -&gt; recalculation required</t>
  </si>
  <si>
    <t>Autom. ergänzte Werte</t>
  </si>
  <si>
    <t>Valeurs ajoutées automatiquement</t>
  </si>
  <si>
    <t>Valori dei risultati automatici</t>
  </si>
  <si>
    <t>Automatically filled values</t>
  </si>
  <si>
    <t>Geändert</t>
  </si>
  <si>
    <t>Changé le</t>
  </si>
  <si>
    <t>Changed on</t>
  </si>
  <si>
    <t>Berechnete Werte</t>
  </si>
  <si>
    <t>Valeurs calculées</t>
  </si>
  <si>
    <t>valori calcolati</t>
  </si>
  <si>
    <t>Calculated values</t>
  </si>
  <si>
    <t>Berechnet</t>
  </si>
  <si>
    <t>Calculé sur</t>
  </si>
  <si>
    <t>Calculated on</t>
  </si>
  <si>
    <t>Toutes les colonnes</t>
  </si>
  <si>
    <t>Tutte le colonne</t>
  </si>
  <si>
    <t>All columns</t>
  </si>
  <si>
    <t>Info appareil</t>
  </si>
  <si>
    <t>Informazioni sul dispositivo</t>
  </si>
  <si>
    <t>Equip. Info</t>
  </si>
  <si>
    <t>Anzahl Übernahmen</t>
  </si>
  <si>
    <t>nombre d'acquisitions</t>
  </si>
  <si>
    <t>numero di acquisizioni</t>
  </si>
  <si>
    <t>Benutzerdefinierten Geräte-Hauptarten</t>
  </si>
  <si>
    <t>Types principaux d'appareils définis par l'utilisateur</t>
  </si>
  <si>
    <t>Dispositivi personalizzati</t>
  </si>
  <si>
    <t>User-defined main device types</t>
  </si>
  <si>
    <t>Gerät übernehmen</t>
  </si>
  <si>
    <t>Reporter l'apareil</t>
  </si>
  <si>
    <t>Rilevare</t>
  </si>
  <si>
    <t>Add the device</t>
  </si>
  <si>
    <t>Gerät ersetzen</t>
  </si>
  <si>
    <t>Remplacer l'appareil</t>
  </si>
  <si>
    <t>Replace the device</t>
  </si>
  <si>
    <t>Datenblätter: relativer Pfad zum Ordner</t>
  </si>
  <si>
    <t>Fiches techniques: chemin relativ aux dossier</t>
  </si>
  <si>
    <t>Schede percorso rel</t>
  </si>
  <si>
    <t>Data sheets: relative path to folder</t>
  </si>
  <si>
    <t>Auswertung nach Speisungen</t>
  </si>
  <si>
    <t>Évaluation après l'alimentation</t>
  </si>
  <si>
    <t>Evaluation based on supply</t>
  </si>
  <si>
    <t>Datenerfasser</t>
  </si>
  <si>
    <t>Collecteur de données</t>
  </si>
  <si>
    <t>raccoglitore di dati</t>
  </si>
  <si>
    <t>Data collector</t>
  </si>
  <si>
    <t>[Kürzel]</t>
  </si>
  <si>
    <t>[acronyme]</t>
  </si>
  <si>
    <t>[acronimo]</t>
  </si>
  <si>
    <t>[Accronym]</t>
  </si>
  <si>
    <t>Datenimport aus anderem File</t>
  </si>
  <si>
    <t>Importation de données depuis un autre fichier</t>
  </si>
  <si>
    <t>Importazione dati da un altro file</t>
  </si>
  <si>
    <t>Data import from other file</t>
  </si>
  <si>
    <t>Input-Ø</t>
  </si>
  <si>
    <t>Beispiel: "..\..\Ordner" (Die Doppelpunkte symbolisieren, einen Ordner nach oben zu wandern.)</t>
  </si>
  <si>
    <t>Exemple : "..\..\dossier" (Les deux points symbolisent le déplacement vers le dossier supérieur.)</t>
  </si>
  <si>
    <t>Esempio: "..\..\cartella" (I due punti simboleggiano lo spostamento verso l'alto di una cartella.)</t>
  </si>
  <si>
    <t>Example: "..\..\Folder" (The two dots symbolise the move to the parent folder.)</t>
  </si>
  <si>
    <t>Verbrauch-Ø</t>
  </si>
  <si>
    <t>Beispiel: "..\..\Datei" (Die Doppelpunkte symbolisieren, einen Ordner nach oben zu wandern.)</t>
  </si>
  <si>
    <t>Exemple : "..\..\fichier" (Les deux points symbolisent le déplacement vers le dossier supérieur.)</t>
  </si>
  <si>
    <t>Example: "..\..\File" (The two dots symbolise the move to the parent folder.)</t>
  </si>
  <si>
    <t>Verbrauch-fix-Ø</t>
  </si>
  <si>
    <t>Consumption fixed</t>
  </si>
  <si>
    <t>Relativer Pfad zur Datei</t>
  </si>
  <si>
    <t>Chemin relativ au fichier</t>
  </si>
  <si>
    <t>File percorso relativo</t>
  </si>
  <si>
    <t>Relativ path to file</t>
  </si>
  <si>
    <t>Verbrauch-on-fix</t>
  </si>
  <si>
    <t>Dateiname</t>
  </si>
  <si>
    <t>Nom de fichier</t>
  </si>
  <si>
    <t>nome del file</t>
  </si>
  <si>
    <t>Filename</t>
  </si>
  <si>
    <t>Verbrauch-off</t>
  </si>
  <si>
    <t>Beispiel: VBA_Template180528_TestRT1.xlsm</t>
  </si>
  <si>
    <t>Exemple : VBA_Template180528_TestRT1.xlsm</t>
  </si>
  <si>
    <t>Esempio: VBA_Template180528_TestRT1.xlsm</t>
  </si>
  <si>
    <t>Example: VBA_Template180528_TestRT1.xlsm</t>
  </si>
  <si>
    <t>Verbrauch-on-var-Ø</t>
  </si>
  <si>
    <t>aögkla</t>
  </si>
  <si>
    <t>Datum des neusten Imports</t>
  </si>
  <si>
    <t>Date de la dernière importation</t>
  </si>
  <si>
    <t>Data di nuova importazione</t>
  </si>
  <si>
    <t>Date of the latest import</t>
  </si>
  <si>
    <t>(Darf nicht leer sein.)</t>
  </si>
  <si>
    <t>(Ne doit pas être vide.)</t>
  </si>
  <si>
    <t>(Non deve essere vuoto.)</t>
  </si>
  <si>
    <t>(Must be filled.)</t>
  </si>
  <si>
    <t>Auxiliary efficiency</t>
  </si>
  <si>
    <t>Daten importieren</t>
  </si>
  <si>
    <t>Importer des données</t>
  </si>
  <si>
    <t>importare i dati</t>
  </si>
  <si>
    <t>Import data</t>
  </si>
  <si>
    <t>Output-Ø</t>
  </si>
  <si>
    <t>Daten löschen</t>
  </si>
  <si>
    <t>Suprimmer les données</t>
  </si>
  <si>
    <t>cancellare i dati</t>
  </si>
  <si>
    <t>Delete data</t>
  </si>
  <si>
    <t>Gewerke anpassen</t>
  </si>
  <si>
    <t>Ajuster les métiers</t>
  </si>
  <si>
    <t>Regola le negoziazioni</t>
  </si>
  <si>
    <t>Adjust trades</t>
  </si>
  <si>
    <t>Werte-Anmerkung 1</t>
  </si>
  <si>
    <t>Graphiken: Farben</t>
  </si>
  <si>
    <t>Graphiques: couleurs</t>
  </si>
  <si>
    <t>Grafica: colori</t>
  </si>
  <si>
    <t>Charts: Colors</t>
  </si>
  <si>
    <t>Werte-Anmerkung 2</t>
  </si>
  <si>
    <t>Falls mehrere weitere Speisungen vorhanden sind: Summenwert; ebenfalls jährlich.</t>
  </si>
  <si>
    <t>S'il y a plusieurs  alimentations secondaires : Valeur totale ; également annuelle.</t>
  </si>
  <si>
    <t>Gewerksnamen</t>
  </si>
  <si>
    <t>Noms de métiers</t>
  </si>
  <si>
    <t>nomi di mestieri</t>
  </si>
  <si>
    <t>Names of fields</t>
  </si>
  <si>
    <t>Ohne Speisungen</t>
  </si>
  <si>
    <t>Sans alimentations</t>
  </si>
  <si>
    <t>Con/senza alimentazione</t>
  </si>
  <si>
    <t>Without supplies</t>
  </si>
  <si>
    <t>Heizung;Kühlung;Lüftung;Beleuchtung;Beschattung</t>
  </si>
  <si>
    <t>Chauffage;Refroidissement;Ventilation;Éclairage;Ombrage</t>
  </si>
  <si>
    <t>riscaldamento;raffreddamento;ventilazione;illuminazione;ombreggiamento</t>
  </si>
  <si>
    <t>Heating;Cooling;Ventilation;Lighting;Shading</t>
  </si>
  <si>
    <t>Netzbezug</t>
  </si>
  <si>
    <t>Du réseau</t>
  </si>
  <si>
    <t>From grid</t>
  </si>
  <si>
    <t>ohne Hauptarten,mit Hauptarten,mit Haupt- und Unterarten</t>
  </si>
  <si>
    <t>sans types principaux,avec types principaux,avec types principaux et sous-types</t>
  </si>
  <si>
    <t>senza tipi principali,con tipi principali,con tipi principale e sottotipi</t>
  </si>
  <si>
    <t>without main types,with main types,with main and subtypes</t>
  </si>
  <si>
    <t>GT,nur GA,nur nGA,GA/nGA</t>
  </si>
  <si>
    <t>GT,AB uniquement,non AB uniquement,AB/non AB</t>
  </si>
  <si>
    <t>GT,solo GA,solo nGA,GA/nGA</t>
  </si>
  <si>
    <t>GT,BA only,nBA only,BA/nBA</t>
  </si>
  <si>
    <t>ohne Gewerke,mit Gewerken</t>
  </si>
  <si>
    <t>sans métiers,avec métiers</t>
  </si>
  <si>
    <t>senza scambi,con scambi</t>
  </si>
  <si>
    <t>without trades,with trades</t>
  </si>
  <si>
    <t>Total,ohne Speisungen,nur Speisungen,mit Speisungen</t>
  </si>
  <si>
    <t>Total,sans flux,uniquement flux,avec flux</t>
  </si>
  <si>
    <t>Totale,senza feed,solo feed,con feed</t>
  </si>
  <si>
    <t>Total,without supplies,only supplies,with supplies</t>
  </si>
  <si>
    <t>Stromverbrauch pro einzelnes Gerät</t>
  </si>
  <si>
    <t>Consommation électrique par appareil individuel</t>
  </si>
  <si>
    <t>Power consumption per single device</t>
  </si>
  <si>
    <t>Einheit</t>
  </si>
  <si>
    <t>Unité</t>
  </si>
  <si>
    <t>Unità</t>
  </si>
  <si>
    <t>Unit</t>
  </si>
  <si>
    <t>Maximale und minimale interne Leistungsaufnahme (Summe über gleiche Geräte; Gebäudetechnik)</t>
  </si>
  <si>
    <t>Puissance absorbée interne maximale et minimale (somme sur les mêmes appareils; technique du bâtiment)</t>
  </si>
  <si>
    <t>Maximum and minimum internal power consumption (sum over same devices; building services)</t>
  </si>
  <si>
    <t>Klassierung nach Haupt- und Unterarten</t>
  </si>
  <si>
    <t>Classification selon les espèces principales et les sous-espèces</t>
  </si>
  <si>
    <t>Classificazione secondo specie principali e sottospecie</t>
  </si>
  <si>
    <t>Classification according to main and subspecies</t>
  </si>
  <si>
    <t>Maximale und minimale interne Leistungsaufnahme pro einzelnes Gerät</t>
  </si>
  <si>
    <t>Puissance absorbée interne maximale et minimale par appareil individuel</t>
  </si>
  <si>
    <t>Maximum and minimum internal power consumption per single device</t>
  </si>
  <si>
    <t>Klassierung nach GA-Zugehörigkeit</t>
  </si>
  <si>
    <t>Classement selon l'affiliation GA</t>
  </si>
  <si>
    <t>Classificazione in base all'affiliazione GA</t>
  </si>
  <si>
    <t>Classification according to GA affiliation</t>
  </si>
  <si>
    <t>Maximale interne Leistungsaufnahme total</t>
  </si>
  <si>
    <t>Puissance interne absorbée maximale totale</t>
  </si>
  <si>
    <t>Maximum internal power consumption total</t>
  </si>
  <si>
    <t>Klassierung nach Gewerken</t>
  </si>
  <si>
    <t>Classement selon les métiers</t>
  </si>
  <si>
    <t>Classificazione in base ai mestieri</t>
  </si>
  <si>
    <t>Classification according to trades</t>
  </si>
  <si>
    <t xml:space="preserve">Minimale interne Leistungsaufnahme total </t>
  </si>
  <si>
    <t>Puissance interne absorbée minimale totale</t>
  </si>
  <si>
    <t>Minimum internal power consumption total</t>
  </si>
  <si>
    <t>Mitbetrachtung der Speisungen</t>
  </si>
  <si>
    <t>Prise en compte des alimentations</t>
  </si>
  <si>
    <t>Considerazione delle poppate</t>
  </si>
  <si>
    <t>With consideration of the supplies</t>
  </si>
  <si>
    <t>ohne Hauptarten</t>
  </si>
  <si>
    <t>sans types principaux</t>
  </si>
  <si>
    <t>senza tipi principali</t>
  </si>
  <si>
    <t>without main types</t>
  </si>
  <si>
    <t>GT</t>
  </si>
  <si>
    <t>mit Gewerken</t>
  </si>
  <si>
    <t>avec métiers</t>
  </si>
  <si>
    <t>con i commerci</t>
  </si>
  <si>
    <t>with trades</t>
  </si>
  <si>
    <t>Visualisation des résultats</t>
  </si>
  <si>
    <t>Visualizzazione dei risultati</t>
  </si>
  <si>
    <t>Visualization of the results</t>
  </si>
  <si>
    <t>Einstellungen</t>
  </si>
  <si>
    <t>Paramètres</t>
  </si>
  <si>
    <t>Impostazioni</t>
  </si>
  <si>
    <t>Settings</t>
  </si>
  <si>
    <t xml:space="preserve">Language option -&gt; </t>
  </si>
  <si>
    <t>Typen-_x000D_
bezeichnung</t>
  </si>
  <si>
    <t>URL zum Daten-_x000D_
blatt</t>
  </si>
  <si>
    <t>Datenblatt lokal_x000D_
(Link)</t>
  </si>
  <si>
    <t>Fiche technique locale_x000D_
(lien)</t>
  </si>
  <si>
    <t>Stromarten_x000D_
der_x000D_
speisenden_x000D_
Ausgänge</t>
  </si>
  <si>
    <t>Types des extrants_x000D_
de courant</t>
  </si>
  <si>
    <t>Tipologie_x000D_
di_x000D_
alimentazione_x000D_
correnti</t>
  </si>
  <si>
    <t>Types of_x000D_
current outputs</t>
  </si>
  <si>
    <t>Stromart des_x000D_
Eingangs</t>
  </si>
  <si>
    <t>Type d'entrant_x000D_
de courant</t>
  </si>
  <si>
    <t>Tipo corrente di_x000D_
input</t>
  </si>
  <si>
    <t>Type of_x000D_
current input</t>
  </si>
  <si>
    <t>Stromart des_x000D_
Eingangs / der_x000D_
Eingänge</t>
  </si>
  <si>
    <t>Types des entrants_x000D_
de courant</t>
  </si>
  <si>
    <t>Tipo di corrente degli_x000D_
input / of_x000D_
input</t>
  </si>
  <si>
    <t>Types of_x000D_
current inputs</t>
  </si>
  <si>
    <t>Gebäude-_x000D_
automation_x000D_
(GA)</t>
  </si>
  <si>
    <t>Nominal-_x000D_
leistung_x000D_
(Output)</t>
  </si>
  <si>
    <t>Puissance_x000D_
 nominale (sortie)</t>
  </si>
  <si>
    <t>_x000D_
potenza_x000D_
 nominale(uscita)</t>
  </si>
  <si>
    <t>Wirkungs-_x000D_
grad bei Nominal-_x000D_
leistung</t>
  </si>
  <si>
    <t>Rendimento alla _x000D_
potenza nominale</t>
  </si>
  <si>
    <t>Von_x000D_
Haupt-_x000D_
speisung</t>
  </si>
  <si>
    <t>Da_x000D_
Feed principale</t>
  </si>
  <si>
    <t>From_x000D_
main_x000D_
supply</t>
  </si>
  <si>
    <t>Von_x000D_
weiteren_x000D_
Sp.</t>
  </si>
  <si>
    <t>Da_x000D_
ulteriori_x000D_
 poppate</t>
  </si>
  <si>
    <t>From_x000D_
secondary_x000D_
supplies</t>
  </si>
  <si>
    <t>Dimm-_x000D_
level</t>
  </si>
  <si>
    <t>Niveau d'atté_x000D_
nuation</t>
  </si>
  <si>
    <t>Attenua-_x000D_
tion level</t>
  </si>
  <si>
    <t>Zeitanteil_x000D_
im aktiven_x000D_
Betrieb</t>
  </si>
  <si>
    <t>Proportion_x000D_
de temps en service_x000D_
actif</t>
  </si>
  <si>
    <t>Time_x000D_
proportion_x000D_
in active_x000D_
operation</t>
  </si>
  <si>
    <t>Leistungs-_x000D_
aufnahme</t>
  </si>
  <si>
    <t>Puissance_x000D_
absorbée</t>
  </si>
  <si>
    <t>Licht-_x000D_
ausbeute_x000D_
(optional)</t>
  </si>
  <si>
    <t>Efficacité_x000D_
lumineuse_x000D_
(obtionnel)</t>
  </si>
  <si>
    <t>Luminous_x000D_
efficacy_x000D_
(optional)</t>
  </si>
  <si>
    <t>Licht-_x000D_
strom_x000D_
(optional)</t>
  </si>
  <si>
    <t>Flux_x000D_
lumineux_x000D_
(optionnel)</t>
  </si>
  <si>
    <t>_x000D_
strom_x000D_
 luminoso (opzionale)</t>
  </si>
  <si>
    <t>Luminous_x000D_
flux_x000D_
(optional)</t>
  </si>
  <si>
    <t>Standby _x000D_
funzionamento</t>
  </si>
  <si>
    <t>Count of_x000D_
imports</t>
  </si>
  <si>
    <t>Consom-_x000D_
mation</t>
  </si>
  <si>
    <t>Verbrauch_x000D_
fix</t>
  </si>
  <si>
    <t>Consom-_x000D_
mation_x000D_
fixe</t>
  </si>
  <si>
    <t>Verbrauch_x000D_
aktiv, fix</t>
  </si>
  <si>
    <t>Consom-_x000D_
mation_x000D_
active, fixe</t>
  </si>
  <si>
    <t>Consumption_x000D_
active, fixed</t>
  </si>
  <si>
    <t>Verbrauch_x000D_
Standby</t>
  </si>
  <si>
    <t>Consom-_x000D_
mation_x000D_
en veille</t>
  </si>
  <si>
    <t>Verbrauch aktiv,_x000D_
leistungs_x000D_
abhängig</t>
  </si>
  <si>
    <t>Consom-_x000D_
mation_x000D_
actif, variable</t>
  </si>
  <si>
    <t>Nominal-_x000D_
leistung</t>
  </si>
  <si>
    <t>Puissance_x000D_
nominale</t>
  </si>
  <si>
    <t>Hilfs-_x000D_
Wirkungsgrad</t>
  </si>
  <si>
    <t>Rende-_x000D_
ment_x000D_
auxiliaire</t>
  </si>
  <si>
    <t>Verbrauch_x000D_
aktiv</t>
  </si>
  <si>
    <t>Consom-_x000D_
mation_x000D_
active</t>
  </si>
  <si>
    <t>Consumption_x000D_
active</t>
  </si>
  <si>
    <t>Die Input-, Output- und alle Verbrauchswerte beziehen sich_x000D_
auf das ganze Jahr und auf ein einzelnes Gerät.</t>
  </si>
  <si>
    <t>Les valeurs d'entrée, de sortie et toutes les valeurs de consommation se réfèrent_x000D_
à l'année entière et à un seul appareil.</t>
  </si>
  <si>
    <t>The input, output and all consumption values refer_x000D_
to the whole year and to a single unit.</t>
  </si>
  <si>
    <t>[m²]</t>
  </si>
  <si>
    <r>
      <t xml:space="preserve">Tool </t>
    </r>
    <r>
      <rPr>
        <i/>
        <sz val="18"/>
        <color theme="1"/>
        <rFont val="Calibri"/>
        <family val="2"/>
        <scheme val="minor"/>
      </rPr>
      <t>StromGT</t>
    </r>
  </si>
  <si>
    <t>Version 1.00, 16.06.2023</t>
  </si>
  <si>
    <t>Zielgruppe und Nutzen</t>
  </si>
  <si>
    <r>
      <t xml:space="preserve">Das Tool </t>
    </r>
    <r>
      <rPr>
        <i/>
        <sz val="11"/>
        <color theme="1"/>
        <rFont val="Calibri"/>
        <family val="2"/>
        <scheme val="minor"/>
      </rPr>
      <t>StromGT</t>
    </r>
    <r>
      <rPr>
        <sz val="11"/>
        <color theme="1"/>
        <rFont val="Calibri"/>
        <family val="2"/>
        <scheme val="minor"/>
      </rPr>
      <t xml:space="preserve"> ist für Planende von Gebäudeautomations- und Gebäudetechnik-Systemen konzipiert. Es unterstützt bei der Minimierung des Stromverbrauchs dieser Systeme. Mit kleinem Eingabeaufwand liefert das Tool ein realitätsnahes und detailliertes Bild des Stromverbrauchs als Grundlage zur Verbrauchs-Minimierung.</t>
    </r>
  </si>
  <si>
    <t>Benutzungs-Konzept</t>
  </si>
  <si>
    <r>
      <t xml:space="preserve">Die Eingaben erfolgen im Blatt </t>
    </r>
    <r>
      <rPr>
        <i/>
        <sz val="11"/>
        <color theme="1"/>
        <rFont val="Calibri"/>
        <family val="2"/>
        <scheme val="minor"/>
      </rPr>
      <t>Eingaben</t>
    </r>
    <r>
      <rPr>
        <sz val="11"/>
        <color theme="1"/>
        <rFont val="Calibri"/>
        <family val="2"/>
        <scheme val="minor"/>
      </rPr>
      <t>. Die Felder sind mit Vorteil in der Reihenfolge von links nach rechts zu erfassen. Mit pinker Farbhinterlegung werden die nächsten Eingaben dynamisch gekennzeichnet.</t>
    </r>
  </si>
  <si>
    <r>
      <t xml:space="preserve">Geräte können aus dem Blatt "Datenbank_Geräte" in das Blatt "Eingaben" übernommen werden. Dabei werden für viele Gerätearten automatisch gewisse Standardwerte ergänzt (Felder </t>
    </r>
    <r>
      <rPr>
        <i/>
        <sz val="11"/>
        <color theme="1"/>
        <rFont val="Calibri"/>
        <family val="2"/>
        <scheme val="minor"/>
      </rPr>
      <t>GA-Zugehörigkeit</t>
    </r>
    <r>
      <rPr>
        <sz val="11"/>
        <color theme="1"/>
        <rFont val="Calibri"/>
        <family val="2"/>
        <scheme val="minor"/>
      </rPr>
      <t xml:space="preserve">, </t>
    </r>
    <r>
      <rPr>
        <i/>
        <sz val="11"/>
        <color theme="1"/>
        <rFont val="Calibri"/>
        <family val="2"/>
        <scheme val="minor"/>
      </rPr>
      <t>Gewerks-Zugehörigkeit</t>
    </r>
    <r>
      <rPr>
        <sz val="11"/>
        <color theme="1"/>
        <rFont val="Calibri"/>
        <family val="2"/>
        <scheme val="minor"/>
      </rPr>
      <t xml:space="preserve">, </t>
    </r>
    <r>
      <rPr>
        <i/>
        <sz val="11"/>
        <color theme="1"/>
        <rFont val="Calibri"/>
        <family val="2"/>
        <scheme val="minor"/>
      </rPr>
      <t>Anteil-on</t>
    </r>
    <r>
      <rPr>
        <sz val="11"/>
        <color theme="1"/>
        <rFont val="Calibri"/>
        <family val="2"/>
        <scheme val="minor"/>
      </rPr>
      <t xml:space="preserve">). </t>
    </r>
  </si>
  <si>
    <t>Im Blatt Eingaben können alle Excel-Funktionalitäten in beliebigen Zellen benutzt werden. Insbesondere können verwendet werden: copy/paste, die Farbattribute sowie die Notiz- und die Kommarfunkion. Auch Formeln, inklusive Zellbezüge, sind unterstützt (ausgenommen in Zellen mit mehreren Werten, siehe Zeile 22).</t>
  </si>
  <si>
    <t>Die Ergebnisse sind sowohl als interaktive Graphik als auch in Form von Tabellen zugänglich. Die Tabellen sind mit Filter-Kopfzeilen ausgestattet. So lassen sich die Ergebnisse schnell beispielsweise nach absteigendem Stromverbrauch sortieren.</t>
  </si>
  <si>
    <t>Benutzungs-Hinweise</t>
  </si>
  <si>
    <t>Löschen von Geräten: Dies erfolgt über die "Kreuz"-Buttons. Alternativ können Geräte auch durch Löschen der gesamten Zeile entfernt werden (via Zeilennummer die Zeile markieren, dann löschen).</t>
  </si>
  <si>
    <t>Bei einer Skript-Fehlermeldung: Nach Schliessen der Fehlermeldungs-Fensters den Button "Reset" anklicken. Dies reaktiviert den VBA-Code und ermöglicht ein Weiterarbeiten im gleichen File.</t>
  </si>
  <si>
    <t>Der Button "Undo" holt den Eingabe-Zustand vor der letzten Feldänderung zurück.</t>
  </si>
  <si>
    <t>Link zu Geräten aus der Datenbank: Im Eingabe-Blatt sind alle Geräte aus der Datenbank mit einem Pfeil markiert. Er erlaubt direkt zum Gerät in der Datenbank zu springen. Dies beispielsweise, um die originalen Gerätedaten einzusehen, oder das Gerät zu ersetzen.</t>
  </si>
  <si>
    <t>Geräte aus der Datenbank übernehmen: Dies erfolgt im Blatt "Datenbank_Geraete" via Pfeil-Buttons. In welcher Anzahl das Gerät im System eingesetzt wird, wird im Blatt "Eingaben" eingegeben. Fast immer genügt pro Gerät eine einzige Übernahme. Mehrere Übernahmen sind nur sinnvoll, wenn das Gerät im System unterschiedlich eingesetzt wird (d.h. entweder unterschiedlich gespeisen wird, oder selbst nicht immer das gleiche Set an Geräten speist.)</t>
  </si>
  <si>
    <t>Gerät mit Gerät aus der Datenbank ersetzen: 
1. Dazu im Blatt "Eingaben" ein beliebiges Feld des zu ersetzenden Geräts anwählen. Falls das zu ersetztende Gerät bereits aus der Datenbank stammt, kann alternativ auf den Datenbank-Pfeil geklickt werden; der Fokus wechselt automatisch ins Blatt "Datenblatt_Geräte".
2. Im Blatt "Datenblatt_Geraete" das gewünschte neue Gerät finden, beispielsweise über die Filterschaltflächen im linken Fensterbereich. Mit dem zweiten Pfeil auf der Linie des gewünschten Geräts die Geräte-Ersetzung durchführen. Der Fokus wechselt automatisch zurück zum Blatt "Eingaben".</t>
  </si>
  <si>
    <t xml:space="preserve">Felder mit mehrfachen Werten: Die Werte sind mit der Zeichenfolge "Strichpunkt Leerschlag" zu trennen. Mehrfache Werte sind in allen Feldern zu weiteren Speisungen möglich, sowie im Feld "Stromarten der speisenden Ausgänge" der Geräte-Attribute. Zu beachten ist eine gleichbleibende Reihenfolge der Werte in unterschiedlichen Mehrfachwert-Feldern auf derselben Zeile: Die Werte korresponieren miteinander in ihrer Reihenfolge.
Gibt es eine Auswahlliste zum Feld, kann sie für den hinzuzufügenden Wert benutzt werden: nach der Wertewahl erscheint ein Dialobox, wo die entsprechene Frage mit "Ja" zu beantworten ist.  </t>
  </si>
  <si>
    <t>Importfunktion: Im Blatt "Konfiguration" gibt es die Importfunktion. Ein Import ist aus einem anderen StromGT-Tool-File möglich. Dessen Datenstruktur sollte zur aktuellen Version unverändert sein. Es werden neben den Werten auch die Formattierungen und allfällige Kommentare/Notizen übernommen.</t>
  </si>
  <si>
    <r>
      <t xml:space="preserve">Datenblätter lokal (PDF-Files): Es ist möglich, Geräte-Datenblätter in einem Ordner zu sammeln und aus dem Tool heraus aufzurufen. Dazu ist:
1. Im Blatt "Konfiguration" der Ordnername und zugehörige relative Pfad anzugeben.
2. Im Blatt "Eingaben", Feld "Datenblatt lokal" (Spalte I) der Name des entsprechenden Datenblattes einzugeben. Die Extension ".pdf" kann dabei weggelassen werden.
3. Die Links erstellen/aktualisieren über den Button "Aktual.". </t>
    </r>
    <r>
      <rPr>
        <sz val="8"/>
        <color theme="1"/>
        <rFont val="Calibri (Body)"/>
      </rPr>
      <t>Der Button "Löschen" konvertiert die Links in dieser Spalte zurück in Text.</t>
    </r>
  </si>
  <si>
    <t>Minimalsystem: Die Berechnung ist startbar, sobald mindestens ein Feldgerät und dessen Speisung (Geräte-Haupttyp: "Speisung") eingegeben sind.</t>
  </si>
  <si>
    <t>Speisungsmodell (wichtig für die korrekte Abbildung des Systems)</t>
  </si>
  <si>
    <t>Feldgeräte befinden sich am Ende der Speisungstopologie. Sie versorgen ihrerseits keine Geräte. Sie selbst können über eine beliebige Anzahl an Eingängen versorgt werden. Zwingend ist die Angabe der "Hauptspeisung". Optional sind ein bis mehrere "Weitere Speisungen".</t>
  </si>
  <si>
    <r>
      <t xml:space="preserve">Speisende Geräte beziehen die weitergegebene Leistung immer über die Hauptspeisung. Die weitergegebene Stromart kann dabei verschieden sein von der bezogenen Stromart. Ein Gerät kann beliebig viele ausgehende Stromarten haben.
Es sind fixe und ausgangsleistungsabhängige Verluste möglich. Die Wirkungsgradangabe bezieht sich auf die über die Hauptspeisung bezogene Leistung bei Nominal-Ausgangsleistung.
</t>
    </r>
    <r>
      <rPr>
        <sz val="8"/>
        <color theme="1"/>
        <rFont val="Calibri (Body)"/>
      </rPr>
      <t>(Die Nominal-Ausgangsleistung ist bei mehreren ausgehenden Leistungen definiert als Summe über alle ausgehenden Leistungen).</t>
    </r>
    <r>
      <rPr>
        <sz val="11"/>
        <color theme="1"/>
        <rFont val="Calibri"/>
        <family val="2"/>
        <scheme val="minor"/>
      </rPr>
      <t xml:space="preserve">
</t>
    </r>
    <r>
      <rPr>
        <sz val="8"/>
        <color theme="1"/>
        <rFont val="Calibri (Body)"/>
      </rPr>
      <t>(Die Wirkungsgradangabe bei Nominalleistung schliesst die fixe interne Leistungsaufnahme bereits mit ein. In der Berechung wird die mittlere effektive Ausgangsleistung ermittelt. Damit wird dann die ausgangsleistungsabhängige Verlustleistung linear intepoliert unter Berücksichtigung der fixen "Interne Leistungsaufnahme" als Leerlaufs-Ausgangsleistung).</t>
    </r>
  </si>
  <si>
    <r>
      <t xml:space="preserve">Anteil-on: Dieser Wert definiert den Zeitanteil des "Aktiven-Betriebs". "Aktiver-Betrieb" und "Standby-Betrieb" summieren automatisch zu 100%. Der Anteil-on gilt für alle Speisungseingänge ("Hauptspeisung", "Weitere Speisungen"). 
</t>
    </r>
    <r>
      <rPr>
        <sz val="8"/>
        <color theme="1"/>
        <rFont val="Calibri (Body)"/>
      </rPr>
      <t>(Verbräuche, welche rund um die Uhr anfallen, können mit Anteil-on = 100 % berücksichtigt werden, oder durch Eingabe des gleichen Wertes in den beiden Betriebszuständen.)</t>
    </r>
  </si>
  <si>
    <t>Systemgrenze Gebäudeautomation (informativ)</t>
  </si>
  <si>
    <t>Welche Verbräuche zur GA gezählt werden ist weitgehend durch den Nutzer steuerbar durch den Eintrag im Feld "GA-Zugehörigkeit". Für alle im Speisungsbaum endständigen Geräte lässt sich ein Prozentanteil festlegen (0% - 100%). Für die speisenden Geräte wird die GA-Zugehörigkeit automatisch zugewiesen (nach dem jährlichen Stromverbrauch aller von jeweiligen Gerät gespiesen GA-Geräte) – ein allfällig manuell eingegebener Wert würde überschrieben. 
Zudem stehen Spezialwerte zur Verfügung mit denen sich die "GA-Zugehörigkeit" noch detaillierter steuern lässt:
- Wert "Standby": Stromverbrauch während dem inaktiven Betrieb (Zeitanteil: 100% minus «Anteil-on»). Gilt für beide Anteile «Hauptspeisung» und «Weitere Speisungen».
- Wert "StandbyPlus": Wie beimWert«Standby», jedoch beim Anteil «Weitere Speisungen» der gesamte Stromverbrauch (aktiver und inaktiver Betrieb).
-  Wert "ImmerGA": Vollständig der GA zugerechnet, auch wenn "Nicht-GA"-Geräte gespiesen werden. Der Wert ist relevant für im Speisungsbaum nicht-endständige Geräte. (Für endständige Geräte resultiert die gleiche Zuteilung wie beim Wert 100%.)
- Wert "Bandlast": Der Stromverbrauch während dem inaktiven Betrieb wird über das ganze Jahr hinweg der GA zugerechnet, d.h. auch während des aktiven Betriebs. Gilt für beide Anteile «Hauptspeisung» und «Weitere Speisungen».
In allen Optionen wird der jeweils restliche Stromverbrauch der «Nicht-GA» zugewiesen.</t>
  </si>
  <si>
    <t>Fläche [m²]</t>
  </si>
  <si>
    <t>Datenimport aus anderer Datei</t>
  </si>
  <si>
    <t>Testfiles\test_file.xlsm</t>
  </si>
  <si>
    <t>Sp-Null</t>
  </si>
  <si>
    <t>Speisung-ohne-Verbrauch</t>
  </si>
  <si>
    <t>FG-Null</t>
  </si>
  <si>
    <t>Feldgeröt-ohne-Verbrauch</t>
  </si>
  <si>
    <t>Sp24VAC-10W_gen</t>
  </si>
  <si>
    <t>Speisegerät</t>
  </si>
  <si>
    <t>generisch</t>
  </si>
  <si>
    <t>xxx</t>
  </si>
  <si>
    <t>Sp24VAC-30W_gen</t>
  </si>
  <si>
    <t>Sp24V-10W_gen</t>
  </si>
  <si>
    <t>24 VAC | 24 VDC</t>
  </si>
  <si>
    <t>Sp24VDC_Gr</t>
  </si>
  <si>
    <t>Speisegeraet 24 VDC</t>
  </si>
  <si>
    <t>Griesser</t>
  </si>
  <si>
    <t>SPE-24DC</t>
  </si>
  <si>
    <t>https://www.griesser.ch/de/produkte/steuerungen/zentralsteuerung/gbus</t>
  </si>
  <si>
    <t>SPgBus_gen</t>
  </si>
  <si>
    <t>Speisegeraet gBus</t>
  </si>
  <si>
    <t>gBus; 29 VDC</t>
  </si>
  <si>
    <t>S1</t>
  </si>
  <si>
    <t>Kombisensor Wind, Helligkeit</t>
  </si>
  <si>
    <t>WH360</t>
  </si>
  <si>
    <t>BO - Impuls</t>
  </si>
  <si>
    <t>AO 2-24 VAC</t>
  </si>
  <si>
    <t>0.01; 0.02</t>
  </si>
  <si>
    <t>S2</t>
  </si>
  <si>
    <t>Wetterstation</t>
  </si>
  <si>
    <t>gEM-8</t>
  </si>
  <si>
    <t>gBus</t>
  </si>
  <si>
    <t>S3_conf1</t>
  </si>
  <si>
    <t>Windsensor mit Heizung</t>
  </si>
  <si>
    <t>WSHE</t>
  </si>
  <si>
    <t>S3_conf2</t>
  </si>
  <si>
    <t>Windsensor ohne Heizung</t>
  </si>
  <si>
    <t>WS200</t>
  </si>
  <si>
    <t>M_Ctrl</t>
  </si>
  <si>
    <t xml:space="preserve">Storenmotorsteuerung </t>
  </si>
  <si>
    <t>gMS-6</t>
  </si>
  <si>
    <t>SP_gBus</t>
  </si>
  <si>
    <t xml:space="preserve">gSP60 </t>
  </si>
  <si>
    <t>M</t>
  </si>
  <si>
    <t>Lamellenstoren-Antrieb</t>
  </si>
  <si>
    <t>M_gen</t>
  </si>
  <si>
    <t>L1</t>
  </si>
  <si>
    <t>LED Decken-Einbauleuchte (ohne Betriebsgerät)</t>
  </si>
  <si>
    <t>Zumtobel</t>
  </si>
  <si>
    <t>60818067 P-INF R150L LED1800-930 LDO AL WH</t>
  </si>
  <si>
    <t>EVG-LED</t>
  </si>
  <si>
    <t>Betriebsgerät der LED Decken-Einbauleuchte</t>
  </si>
  <si>
    <t>28001407 DRV TR LCA 17W 700mA 50V D #O4A SR PRE Z</t>
  </si>
  <si>
    <t>Dali</t>
  </si>
  <si>
    <t>L2</t>
  </si>
  <si>
    <t>LED Decken-Einbauleuchte inkl. Betriebsgerät</t>
  </si>
  <si>
    <t>60818067 &amp; 28001407</t>
  </si>
  <si>
    <t>L3</t>
  </si>
  <si>
    <t>LED Kompakt, ohne Berücksichtigung Dali</t>
  </si>
  <si>
    <t>Engine DLE AC G3 one4all PRE</t>
  </si>
  <si>
    <t>L4_conf1</t>
  </si>
  <si>
    <t>LED Kompakt, wie L3, mit Berücks. Dali</t>
  </si>
  <si>
    <t>L4_conf2</t>
  </si>
  <si>
    <t>Typenbezeichnung</t>
  </si>
  <si>
    <t>URL zum Datenblatt</t>
  </si>
  <si>
    <t>Stromarten der speisenden Ausgänge</t>
  </si>
  <si>
    <t>Stromart des Eingangs</t>
  </si>
  <si>
    <t>Stromart des Eingangs / der Eingänge</t>
  </si>
  <si>
    <t>plus_19</t>
  </si>
  <si>
    <t>Nominalleistung (Output)</t>
  </si>
  <si>
    <t>plus_20</t>
  </si>
  <si>
    <t>Wirkungsgrad bei Nominalleistung</t>
  </si>
  <si>
    <t>plus_21</t>
  </si>
  <si>
    <t>Von Hauptspeisung</t>
  </si>
  <si>
    <t>plus_22</t>
  </si>
  <si>
    <t>Von weiteren Sp.</t>
  </si>
  <si>
    <t>plus_23</t>
  </si>
  <si>
    <t>plus_24</t>
  </si>
  <si>
    <t>plus_25</t>
  </si>
  <si>
    <t>plus_26</t>
  </si>
  <si>
    <t>Lichtstrom (optional)</t>
  </si>
  <si>
    <t>plus_27</t>
  </si>
  <si>
    <t>Lichtausbeute (optional)</t>
  </si>
  <si>
    <t>Gerät übernehmen_x000D_
_x000D_
Gerät ersetzen</t>
  </si>
  <si>
    <t>-1</t>
  </si>
  <si>
    <t>0</t>
  </si>
  <si>
    <t>3</t>
  </si>
  <si>
    <t>5</t>
  </si>
  <si>
    <t>6</t>
  </si>
  <si>
    <t>7</t>
  </si>
  <si>
    <t>8</t>
  </si>
  <si>
    <t>10</t>
  </si>
  <si>
    <t>11</t>
  </si>
  <si>
    <t>13</t>
  </si>
  <si>
    <t>15</t>
  </si>
  <si>
    <t>16</t>
  </si>
  <si>
    <t>kWh/m²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</si>
</sst>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
  </numFmts>
  <fonts count="15">
    <font>
      <sz val="11"/>
      <color theme="1"/>
      <name val="Calibri"/>
      <family val="2"/>
      <scheme val="minor"/>
    </font>
    <font>
      <b/>
      <sz val="11"/>
      <color theme="1"/>
      <name val="Calibri"/>
      <family val="2"/>
      <scheme val="minor"/>
    </font>
    <font>
      <sz val="8"/>
      <name val="Segoe UI"/>
      <family val="2"/>
    </font>
    <font>
      <sz val="18"/>
      <color theme="1"/>
      <name val="Calibri"/>
      <family val="2"/>
      <scheme val="minor"/>
    </font>
    <font>
      <i/>
      <sz val="18"/>
      <color theme="1"/>
      <name val="Calibri"/>
      <family val="2"/>
      <scheme val="minor"/>
    </font>
    <font>
      <i/>
      <sz val="11"/>
      <color theme="1"/>
      <name val="Calibri"/>
      <family val="2"/>
      <scheme val="minor"/>
    </font>
    <font>
      <sz val="8"/>
      <color theme="1"/>
      <name val="Calibri (Body)"/>
    </font>
    <font>
      <b/>
      <sz val="11"/>
      <color theme="1"/>
      <name val="Arial"/>
      <family val="2"/>
    </font>
    <font>
      <sz val="9"/>
      <color theme="1"/>
      <name val="Arial"/>
      <family val="2"/>
    </font>
    <font>
      <b/>
      <sz val="9"/>
      <color theme="1"/>
      <name val="Arial"/>
      <family val="2"/>
    </font>
    <font>
      <sz val="8"/>
      <color theme="1"/>
      <name val="Arial"/>
      <family val="2"/>
    </font>
    <font>
      <sz val="9"/>
      <color rgb="FFE2EFDA"/>
      <name val="Arial"/>
      <family val="2"/>
    </font>
    <font>
      <b/>
      <sz val="12"/>
      <color theme="1"/>
      <name val="Arial"/>
      <family val="2"/>
    </font>
    <font>
      <sz val="9"/>
      <color rgb="FFFFFFFF"/>
      <name val="Arial"/>
      <family val="2"/>
    </font>
    <font>
      <b/>
      <sz val="18"/>
      <color theme="1"/>
      <name val="Calibri"/>
      <family val="2"/>
      <scheme val="minor"/>
    </font>
  </fonts>
  <fills count="15">
    <fill>
      <patternFill patternType="none"/>
    </fill>
    <fill>
      <patternFill patternType="gray125"/>
    </fill>
    <fill>
      <patternFill patternType="solid">
        <fgColor rgb="FFE2EFDA"/>
        <bgColor indexed="64"/>
      </patternFill>
    </fill>
    <fill>
      <patternFill patternType="solid">
        <fgColor rgb="FFFFAEC9"/>
        <bgColor indexed="64"/>
      </patternFill>
    </fill>
    <fill>
      <patternFill patternType="solid">
        <fgColor rgb="FFC10100"/>
        <bgColor indexed="64"/>
      </patternFill>
    </fill>
    <fill>
      <patternFill patternType="solid">
        <fgColor rgb="FFE92928"/>
        <bgColor indexed="64"/>
      </patternFill>
    </fill>
    <fill>
      <patternFill patternType="solid">
        <fgColor rgb="FF4572A7"/>
        <bgColor indexed="64"/>
      </patternFill>
    </fill>
    <fill>
      <patternFill patternType="solid">
        <fgColor rgb="FF6D9ACF"/>
        <bgColor indexed="64"/>
      </patternFill>
    </fill>
    <fill>
      <patternFill patternType="solid">
        <fgColor rgb="FF92D050"/>
        <bgColor indexed="64"/>
      </patternFill>
    </fill>
    <fill>
      <patternFill patternType="solid">
        <fgColor rgb="FFBAF878"/>
        <bgColor indexed="64"/>
      </patternFill>
    </fill>
    <fill>
      <patternFill patternType="solid">
        <fgColor rgb="FFFFC000"/>
        <bgColor indexed="64"/>
      </patternFill>
    </fill>
    <fill>
      <patternFill patternType="solid">
        <fgColor rgb="FFFFE828"/>
        <bgColor indexed="64"/>
      </patternFill>
    </fill>
    <fill>
      <patternFill patternType="solid">
        <fgColor rgb="FFBE8F0E"/>
        <bgColor indexed="64"/>
      </patternFill>
    </fill>
    <fill>
      <patternFill patternType="solid">
        <fgColor rgb="FFE6B736"/>
        <bgColor indexed="64"/>
      </patternFill>
    </fill>
    <fill>
      <patternFill patternType="solid">
        <fgColor rgb="FFFFD6D3"/>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87">
    <xf numFmtId="0" fontId="0" fillId="0" borderId="0" xfId="0"/>
    <xf numFmtId="10" fontId="0" fillId="0" borderId="0" xfId="0" applyNumberFormat="1"/>
    <xf numFmtId="9" fontId="0" fillId="0" borderId="0" xfId="0" applyNumberFormat="1"/>
    <xf numFmtId="0" fontId="0" fillId="0" borderId="0" xfId="0" applyAlignment="1">
      <alignment wrapText="1"/>
    </xf>
    <xf numFmtId="0" fontId="0" fillId="0" borderId="0" xfId="0" applyAlignment="1">
      <alignment horizontal="left" vertical="top"/>
    </xf>
    <xf numFmtId="0" fontId="3" fillId="0" borderId="0" xfId="0" applyFont="1" applyAlignment="1">
      <alignment horizontal="left" vertical="top"/>
    </xf>
    <xf numFmtId="0" fontId="1" fillId="0" borderId="0" xfId="0" applyFont="1" applyAlignment="1">
      <alignment horizontal="left" vertical="top"/>
    </xf>
    <xf numFmtId="0" fontId="0" fillId="0" borderId="0" xfId="0" applyAlignment="1">
      <alignment horizontal="left" vertical="top" wrapText="1"/>
    </xf>
    <xf numFmtId="0" fontId="8" fillId="0" borderId="0" xfId="0" applyFont="1"/>
    <xf numFmtId="0" fontId="8" fillId="0" borderId="0" xfId="0" applyFont="1" applyAlignment="1">
      <alignment horizontal="center"/>
    </xf>
    <xf numFmtId="0" fontId="9" fillId="2" borderId="5" xfId="0" applyFont="1" applyFill="1" applyBorder="1" applyAlignment="1">
      <alignment horizontal="left" vertical="top" wrapText="1"/>
    </xf>
    <xf numFmtId="0" fontId="9" fillId="2" borderId="6" xfId="0" applyFont="1" applyFill="1" applyBorder="1" applyAlignment="1">
      <alignment horizontal="left" vertical="top" wrapText="1"/>
    </xf>
    <xf numFmtId="0" fontId="9" fillId="2" borderId="7" xfId="0" applyFont="1" applyFill="1" applyBorder="1" applyAlignment="1">
      <alignment horizontal="left" vertical="top" wrapText="1"/>
    </xf>
    <xf numFmtId="0" fontId="8" fillId="2" borderId="2" xfId="0" applyFont="1" applyFill="1" applyBorder="1" applyAlignment="1">
      <alignment horizontal="left" vertical="top" wrapText="1"/>
    </xf>
    <xf numFmtId="0" fontId="8" fillId="2" borderId="5" xfId="0" applyFont="1" applyFill="1" applyBorder="1" applyAlignment="1">
      <alignment horizontal="left" vertical="top" wrapText="1"/>
    </xf>
    <xf numFmtId="0" fontId="8" fillId="2" borderId="7" xfId="0" applyFont="1" applyFill="1" applyBorder="1" applyAlignment="1">
      <alignment horizontal="left" vertical="top" wrapText="1"/>
    </xf>
    <xf numFmtId="0" fontId="8" fillId="2" borderId="6" xfId="0" applyFont="1" applyFill="1" applyBorder="1" applyAlignment="1">
      <alignment horizontal="left" vertical="top" wrapText="1"/>
    </xf>
    <xf numFmtId="0" fontId="8" fillId="2" borderId="4" xfId="0" applyFont="1" applyFill="1" applyBorder="1" applyAlignment="1">
      <alignment horizontal="left" vertical="top" wrapText="1"/>
    </xf>
    <xf numFmtId="0" fontId="8" fillId="2" borderId="2" xfId="0" applyFont="1" applyFill="1" applyBorder="1" applyAlignment="1">
      <alignment horizontal="left" vertical="top" wrapText="1"/>
    </xf>
    <xf numFmtId="0" fontId="8" fillId="2" borderId="3" xfId="0" applyFont="1" applyFill="1" applyBorder="1" applyAlignment="1">
      <alignment horizontal="left" vertical="top" wrapText="1"/>
    </xf>
    <xf numFmtId="0" fontId="8" fillId="2" borderId="3" xfId="0" applyFont="1" applyFill="1" applyBorder="1" applyAlignment="1">
      <alignment horizontal="left" vertical="top" wrapText="1"/>
    </xf>
    <xf numFmtId="0" fontId="8" fillId="2" borderId="1" xfId="0" applyFont="1" applyFill="1" applyBorder="1" applyAlignment="1">
      <alignment horizontal="left" vertical="top" wrapText="1"/>
    </xf>
    <xf numFmtId="0" fontId="8" fillId="3" borderId="0" xfId="0" applyFont="1" applyFill="1"/>
    <xf numFmtId="0" fontId="11" fillId="2" borderId="1" xfId="0" applyFont="1" applyFill="1" applyBorder="1" applyAlignment="1">
      <alignment horizontal="left" vertical="top" wrapText="1"/>
    </xf>
    <xf numFmtId="0" fontId="8" fillId="0" borderId="0" xfId="0" applyFont="1"/>
    <xf numFmtId="0" fontId="8" fillId="0" borderId="8" xfId="0" applyFont="1" applyBorder="1"/>
    <xf numFmtId="0" fontId="8" fillId="0" borderId="1" xfId="0" applyFont="1" applyBorder="1"/>
    <xf numFmtId="0" fontId="8" fillId="0" borderId="1" xfId="0" applyFont="1" applyBorder="1"/>
    <xf numFmtId="0" fontId="8" fillId="4" borderId="0" xfId="0" applyFont="1" applyFill="1"/>
    <xf numFmtId="0" fontId="8" fillId="6" borderId="0" xfId="0" applyFont="1" applyFill="1"/>
    <xf numFmtId="0" fontId="8" fillId="8" borderId="0" xfId="0" applyFont="1" applyFill="1"/>
    <xf numFmtId="0" fontId="8" fillId="10" borderId="0" xfId="0" applyFont="1" applyFill="1"/>
    <xf numFmtId="0" fontId="8" fillId="12" borderId="0" xfId="0" applyFont="1" applyFill="1"/>
    <xf numFmtId="0" fontId="8" fillId="5" borderId="0" xfId="0" applyFont="1" applyFill="1"/>
    <xf numFmtId="0" fontId="8" fillId="7" borderId="0" xfId="0" applyFont="1" applyFill="1"/>
    <xf numFmtId="0" fontId="8" fillId="9" borderId="0" xfId="0" applyFont="1" applyFill="1"/>
    <xf numFmtId="0" fontId="8" fillId="11" borderId="0" xfId="0" applyFont="1" applyFill="1"/>
    <xf numFmtId="0" fontId="8" fillId="13" borderId="0" xfId="0" applyFont="1" applyFill="1"/>
    <xf numFmtId="0" fontId="8" fillId="2" borderId="0" xfId="0" applyFont="1" applyFill="1"/>
    <xf numFmtId="0" fontId="8" fillId="2" borderId="0" xfId="0" applyFont="1" applyFill="1"/>
    <xf numFmtId="0" fontId="12" fillId="0" borderId="0" xfId="0" applyFont="1"/>
    <xf numFmtId="0" fontId="7" fillId="0" borderId="0" xfId="0" applyFont="1"/>
    <xf numFmtId="0" fontId="8" fillId="0" borderId="0" xfId="0" applyFont="1" applyAlignment="1">
      <alignment horizontal="left" vertical="top" textRotation="90"/>
    </xf>
    <xf numFmtId="0" fontId="8" fillId="0" borderId="0" xfId="0" applyFont="1" applyAlignment="1">
      <alignment horizontal="left" vertical="top" textRotation="90" wrapText="1"/>
    </xf>
    <xf numFmtId="0" fontId="13" fillId="0" borderId="0" xfId="0" applyFont="1" applyAlignment="1">
      <alignment horizontal="left" vertical="top"/>
    </xf>
    <xf numFmtId="0" fontId="8" fillId="0" borderId="0" xfId="0" applyFont="1" applyAlignment="1">
      <alignment horizontal="left" vertical="top"/>
    </xf>
    <xf numFmtId="9" fontId="8" fillId="0" borderId="0" xfId="0" applyNumberFormat="1" applyFont="1" applyAlignment="1">
      <alignment horizontal="left" vertical="top"/>
    </xf>
    <xf numFmtId="0" fontId="11" fillId="0" borderId="0" xfId="0" applyFont="1" applyAlignment="1">
      <alignment horizontal="left" vertical="top"/>
    </xf>
    <xf numFmtId="0" fontId="14" fillId="0" borderId="0" xfId="0" applyFont="1"/>
    <xf numFmtId="0" fontId="1" fillId="0" borderId="0" xfId="0" applyFont="1"/>
    <xf numFmtId="0" fontId="0" fillId="14" borderId="0" xfId="0" applyFill="1"/>
    <xf numFmtId="10" fontId="8" fillId="0" borderId="0" xfId="0" applyNumberFormat="1" applyFont="1"/>
    <xf numFmtId="10" fontId="8" fillId="2" borderId="2" xfId="0" applyNumberFormat="1" applyFont="1" applyFill="1" applyBorder="1" applyAlignment="1">
      <alignment horizontal="left" vertical="top" wrapText="1"/>
    </xf>
    <xf numFmtId="10" fontId="8" fillId="2" borderId="4" xfId="0" applyNumberFormat="1" applyFont="1" applyFill="1" applyBorder="1" applyAlignment="1">
      <alignment horizontal="left" vertical="top" wrapText="1"/>
    </xf>
    <xf numFmtId="10" fontId="8" fillId="2" borderId="3" xfId="0" applyNumberFormat="1" applyFont="1" applyFill="1" applyBorder="1" applyAlignment="1">
      <alignment horizontal="left" vertical="top" wrapText="1"/>
    </xf>
    <xf numFmtId="10" fontId="8" fillId="2" borderId="1" xfId="0" applyNumberFormat="1" applyFont="1" applyFill="1" applyBorder="1" applyAlignment="1">
      <alignment horizontal="left" vertical="top" wrapText="1"/>
    </xf>
    <xf numFmtId="10" fontId="8" fillId="2" borderId="2" xfId="0" applyNumberFormat="1" applyFont="1" applyFill="1" applyBorder="1" applyAlignment="1">
      <alignment horizontal="left" vertical="top" wrapText="1"/>
    </xf>
    <xf numFmtId="10" fontId="9" fillId="2" borderId="2" xfId="0" applyNumberFormat="1" applyFont="1" applyFill="1" applyBorder="1" applyAlignment="1">
      <alignment horizontal="left" vertical="top" wrapText="1"/>
    </xf>
    <xf numFmtId="10" fontId="9" fillId="2" borderId="4" xfId="0" applyNumberFormat="1" applyFont="1" applyFill="1" applyBorder="1" applyAlignment="1">
      <alignment horizontal="left" vertical="top" wrapText="1"/>
    </xf>
    <xf numFmtId="2" fontId="8" fillId="0" borderId="0" xfId="0" applyNumberFormat="1" applyFont="1"/>
    <xf numFmtId="2" fontId="8" fillId="2" borderId="2" xfId="0" applyNumberFormat="1" applyFont="1" applyFill="1" applyBorder="1" applyAlignment="1">
      <alignment horizontal="left" vertical="top" wrapText="1"/>
    </xf>
    <xf numFmtId="2" fontId="8" fillId="2" borderId="4" xfId="0" applyNumberFormat="1" applyFont="1" applyFill="1" applyBorder="1" applyAlignment="1">
      <alignment horizontal="left" vertical="top" wrapText="1"/>
    </xf>
    <xf numFmtId="2" fontId="8" fillId="2" borderId="3" xfId="0" applyNumberFormat="1" applyFont="1" applyFill="1" applyBorder="1" applyAlignment="1">
      <alignment horizontal="left" vertical="top" wrapText="1"/>
    </xf>
    <xf numFmtId="2" fontId="8" fillId="2" borderId="1" xfId="0" applyNumberFormat="1" applyFont="1" applyFill="1" applyBorder="1" applyAlignment="1">
      <alignment horizontal="left" vertical="top" wrapText="1"/>
    </xf>
    <xf numFmtId="164" fontId="8" fillId="0" borderId="0" xfId="0" applyNumberFormat="1" applyFont="1"/>
    <xf numFmtId="164" fontId="8" fillId="2" borderId="2" xfId="0" applyNumberFormat="1" applyFont="1" applyFill="1" applyBorder="1" applyAlignment="1">
      <alignment horizontal="left" vertical="top" wrapText="1"/>
    </xf>
    <xf numFmtId="164" fontId="8" fillId="2" borderId="4" xfId="0" applyNumberFormat="1" applyFont="1" applyFill="1" applyBorder="1" applyAlignment="1">
      <alignment horizontal="left" vertical="top" wrapText="1"/>
    </xf>
    <xf numFmtId="164" fontId="8" fillId="2" borderId="3" xfId="0" applyNumberFormat="1" applyFont="1" applyFill="1" applyBorder="1" applyAlignment="1">
      <alignment horizontal="left" vertical="top" wrapText="1"/>
    </xf>
    <xf numFmtId="164" fontId="8" fillId="2" borderId="1" xfId="0" applyNumberFormat="1" applyFont="1" applyFill="1" applyBorder="1" applyAlignment="1">
      <alignment horizontal="left" vertical="top" wrapText="1"/>
    </xf>
    <xf numFmtId="165" fontId="8" fillId="0" borderId="0" xfId="0" applyNumberFormat="1" applyFont="1"/>
    <xf numFmtId="165" fontId="8" fillId="2" borderId="2" xfId="0" applyNumberFormat="1" applyFont="1" applyFill="1" applyBorder="1" applyAlignment="1">
      <alignment horizontal="left" vertical="top" wrapText="1"/>
    </xf>
    <xf numFmtId="165" fontId="8" fillId="2" borderId="3" xfId="0" applyNumberFormat="1" applyFont="1" applyFill="1" applyBorder="1" applyAlignment="1">
      <alignment horizontal="left" vertical="top" wrapText="1"/>
    </xf>
    <xf numFmtId="165" fontId="8" fillId="2" borderId="1" xfId="0" applyNumberFormat="1" applyFont="1" applyFill="1" applyBorder="1" applyAlignment="1">
      <alignment horizontal="left" vertical="top" wrapText="1"/>
    </xf>
    <xf numFmtId="2" fontId="8" fillId="2" borderId="2" xfId="0" applyNumberFormat="1" applyFont="1" applyFill="1" applyBorder="1" applyAlignment="1">
      <alignment horizontal="left" vertical="top" wrapText="1"/>
    </xf>
    <xf numFmtId="1" fontId="8" fillId="0" borderId="0" xfId="0" applyNumberFormat="1" applyFont="1"/>
    <xf numFmtId="1" fontId="8" fillId="2" borderId="2" xfId="0" applyNumberFormat="1" applyFont="1" applyFill="1" applyBorder="1" applyAlignment="1">
      <alignment horizontal="left" vertical="top" wrapText="1"/>
    </xf>
    <xf numFmtId="1" fontId="8" fillId="2" borderId="3" xfId="0" applyNumberFormat="1" applyFont="1" applyFill="1" applyBorder="1" applyAlignment="1">
      <alignment horizontal="left" vertical="top" wrapText="1"/>
    </xf>
    <xf numFmtId="1" fontId="8" fillId="2" borderId="1" xfId="0" applyNumberFormat="1" applyFont="1" applyFill="1" applyBorder="1" applyAlignment="1">
      <alignment horizontal="left" vertical="top" wrapText="1"/>
    </xf>
    <xf numFmtId="166" fontId="8" fillId="0" borderId="0" xfId="0" applyNumberFormat="1" applyFont="1"/>
    <xf numFmtId="166" fontId="8" fillId="2" borderId="2" xfId="0" applyNumberFormat="1" applyFont="1" applyFill="1" applyBorder="1" applyAlignment="1">
      <alignment horizontal="left" vertical="top" wrapText="1"/>
    </xf>
    <xf numFmtId="166" fontId="8" fillId="2" borderId="3" xfId="0" applyNumberFormat="1" applyFont="1" applyFill="1" applyBorder="1" applyAlignment="1">
      <alignment horizontal="left" vertical="top" wrapText="1"/>
    </xf>
    <xf numFmtId="166" fontId="8" fillId="2" borderId="1" xfId="0" applyNumberFormat="1" applyFont="1" applyFill="1" applyBorder="1" applyAlignment="1">
      <alignment horizontal="left" vertical="top" wrapText="1"/>
    </xf>
    <xf numFmtId="9" fontId="8" fillId="0" borderId="0" xfId="0" applyNumberFormat="1" applyFont="1"/>
    <xf numFmtId="9" fontId="8" fillId="2" borderId="2" xfId="0" applyNumberFormat="1" applyFont="1" applyFill="1" applyBorder="1" applyAlignment="1">
      <alignment horizontal="left" vertical="top" wrapText="1"/>
    </xf>
    <xf numFmtId="9" fontId="8" fillId="2" borderId="4" xfId="0" applyNumberFormat="1" applyFont="1" applyFill="1" applyBorder="1" applyAlignment="1">
      <alignment horizontal="left" vertical="top" wrapText="1"/>
    </xf>
    <xf numFmtId="9" fontId="8" fillId="2" borderId="3" xfId="0" applyNumberFormat="1" applyFont="1" applyFill="1" applyBorder="1" applyAlignment="1">
      <alignment horizontal="left" vertical="top" wrapText="1"/>
    </xf>
    <xf numFmtId="9" fontId="8" fillId="2" borderId="1" xfId="0" applyNumberFormat="1" applyFont="1" applyFill="1" applyBorder="1" applyAlignment="1">
      <alignment horizontal="left" vertical="top" wrapText="1"/>
    </xf>
  </cellXfs>
  <cellStyles count="1">
    <cellStyle name="Normal" xfId="0" builtinId="0"/>
  </cellStyles>
  <dxfs count="23">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
      <font>
        <strike val="0"/>
        <outline val="0"/>
        <shadow val="0"/>
        <u val="none"/>
        <vertAlign val="baseline"/>
        <sz val="9"/>
        <name val="Arial"/>
        <family val="2"/>
        <scheme val="none"/>
      </font>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797208016"/>
        <c:axId val="1797205136"/>
      </c:barChart>
      <c:catAx>
        <c:axId val="1797208016"/>
        <c:scaling>
          <c:orientation val="minMax"/>
        </c:scaling>
        <c:delete val="0"/>
        <c:axPos val="b"/>
        <c:majorTickMark val="out"/>
        <c:minorTickMark val="none"/>
        <c:tickLblPos val="nextTo"/>
        <c:crossAx val="1797205136"/>
        <c:crosses val="autoZero"/>
        <c:auto val="1"/>
        <c:lblAlgn val="ctr"/>
        <c:lblOffset val="100"/>
        <c:noMultiLvlLbl val="0"/>
      </c:catAx>
      <c:valAx>
        <c:axId val="1797205136"/>
        <c:scaling>
          <c:orientation val="minMax"/>
        </c:scaling>
        <c:delete val="0"/>
        <c:axPos val="l"/>
        <c:majorGridlines/>
        <c:majorTickMark val="out"/>
        <c:minorTickMark val="none"/>
        <c:tickLblPos val="nextTo"/>
        <c:crossAx val="179720801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0</xdr:row>
      <xdr:rowOff>0</xdr:rowOff>
    </xdr:from>
    <xdr:to>
      <xdr:col>20</xdr:col>
      <xdr:colOff>0</xdr:colOff>
      <xdr:row>36</xdr:row>
      <xdr:rowOff>0</xdr:rowOff>
    </xdr:to>
    <xdr:graphicFrame macro="">
      <xdr:nvGraphicFramePr>
        <xdr:cNvPr id="2" name="Chart 1">
          <a:extLst>
            <a:ext uri="{FF2B5EF4-FFF2-40B4-BE49-F238E27FC236}">
              <a16:creationId xmlns:a16="http://schemas.microsoft.com/office/drawing/2014/main" id="{DC08D497-7BA1-F868-2583-64571213E4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4</xdr:col>
          <xdr:colOff>95250</xdr:colOff>
          <xdr:row>3</xdr:row>
          <xdr:rowOff>57150</xdr:rowOff>
        </xdr:to>
        <xdr:sp macro="" textlink="">
          <xdr:nvSpPr>
            <xdr:cNvPr id="6145" name="1" hidden="1">
              <a:extLst>
                <a:ext uri="{63B3BB69-23CF-44E3-9099-C40C66FF867C}">
                  <a14:compatExt spid="_x0000_s6145"/>
                </a:ext>
                <a:ext uri="{FF2B5EF4-FFF2-40B4-BE49-F238E27FC236}">
                  <a16:creationId xmlns:a16="http://schemas.microsoft.com/office/drawing/2014/main" id="{0C9CC55F-20BF-3DB5-7D6F-DCE7C8F13DF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Anzahl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4</xdr:col>
          <xdr:colOff>95250</xdr:colOff>
          <xdr:row>4</xdr:row>
          <xdr:rowOff>123825</xdr:rowOff>
        </xdr:to>
        <xdr:sp macro="" textlink="">
          <xdr:nvSpPr>
            <xdr:cNvPr id="6146" name="2" hidden="1">
              <a:extLst>
                <a:ext uri="{63B3BB69-23CF-44E3-9099-C40C66FF867C}">
                  <a14:compatExt spid="_x0000_s6146"/>
                </a:ext>
                <a:ext uri="{FF2B5EF4-FFF2-40B4-BE49-F238E27FC236}">
                  <a16:creationId xmlns:a16="http://schemas.microsoft.com/office/drawing/2014/main" id="{9D8CD647-5EDD-3B70-94BC-483212979E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Input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123825</xdr:rowOff>
        </xdr:from>
        <xdr:to>
          <xdr:col>4</xdr:col>
          <xdr:colOff>95250</xdr:colOff>
          <xdr:row>6</xdr:row>
          <xdr:rowOff>0</xdr:rowOff>
        </xdr:to>
        <xdr:sp macro="" textlink="">
          <xdr:nvSpPr>
            <xdr:cNvPr id="6147" name="3" hidden="1">
              <a:extLst>
                <a:ext uri="{63B3BB69-23CF-44E3-9099-C40C66FF867C}">
                  <a14:compatExt spid="_x0000_s6147"/>
                </a:ext>
                <a:ext uri="{FF2B5EF4-FFF2-40B4-BE49-F238E27FC236}">
                  <a16:creationId xmlns:a16="http://schemas.microsoft.com/office/drawing/2014/main" id="{C9DFF7B7-6A5F-0381-AC2C-53C5AE9DDD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Output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4</xdr:col>
          <xdr:colOff>95250</xdr:colOff>
          <xdr:row>7</xdr:row>
          <xdr:rowOff>57150</xdr:rowOff>
        </xdr:to>
        <xdr:sp macro="" textlink="">
          <xdr:nvSpPr>
            <xdr:cNvPr id="6148" name="4" hidden="1">
              <a:extLst>
                <a:ext uri="{63B3BB69-23CF-44E3-9099-C40C66FF867C}">
                  <a14:compatExt spid="_x0000_s6148"/>
                </a:ext>
                <a:ext uri="{FF2B5EF4-FFF2-40B4-BE49-F238E27FC236}">
                  <a16:creationId xmlns:a16="http://schemas.microsoft.com/office/drawing/2014/main" id="{C77C2F31-2C69-CECA-35D7-EE1D0C2B21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Verbrauch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57150</xdr:rowOff>
        </xdr:from>
        <xdr:to>
          <xdr:col>4</xdr:col>
          <xdr:colOff>95250</xdr:colOff>
          <xdr:row>8</xdr:row>
          <xdr:rowOff>123825</xdr:rowOff>
        </xdr:to>
        <xdr:sp macro="" textlink="">
          <xdr:nvSpPr>
            <xdr:cNvPr id="6149" name="5" hidden="1">
              <a:extLst>
                <a:ext uri="{63B3BB69-23CF-44E3-9099-C40C66FF867C}">
                  <a14:compatExt spid="_x0000_s6149"/>
                </a:ext>
                <a:ext uri="{FF2B5EF4-FFF2-40B4-BE49-F238E27FC236}">
                  <a16:creationId xmlns:a16="http://schemas.microsoft.com/office/drawing/2014/main" id="{46BB29E5-A43F-D52E-49D3-C63B169CDC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Verbrauch aktiv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123825</xdr:rowOff>
        </xdr:from>
        <xdr:to>
          <xdr:col>4</xdr:col>
          <xdr:colOff>95250</xdr:colOff>
          <xdr:row>10</xdr:row>
          <xdr:rowOff>0</xdr:rowOff>
        </xdr:to>
        <xdr:sp macro="" textlink="">
          <xdr:nvSpPr>
            <xdr:cNvPr id="6150" name="6" hidden="1">
              <a:extLst>
                <a:ext uri="{63B3BB69-23CF-44E3-9099-C40C66FF867C}">
                  <a14:compatExt spid="_x0000_s6150"/>
                </a:ext>
                <a:ext uri="{FF2B5EF4-FFF2-40B4-BE49-F238E27FC236}">
                  <a16:creationId xmlns:a16="http://schemas.microsoft.com/office/drawing/2014/main" id="{7017936F-761B-108C-ECBA-4F86B87BE6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Verbrauch Standby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0</xdr:rowOff>
        </xdr:from>
        <xdr:to>
          <xdr:col>4</xdr:col>
          <xdr:colOff>95250</xdr:colOff>
          <xdr:row>11</xdr:row>
          <xdr:rowOff>57150</xdr:rowOff>
        </xdr:to>
        <xdr:sp macro="" textlink="">
          <xdr:nvSpPr>
            <xdr:cNvPr id="6151" name="7" hidden="1">
              <a:extLst>
                <a:ext uri="{63B3BB69-23CF-44E3-9099-C40C66FF867C}">
                  <a14:compatExt spid="_x0000_s6151"/>
                </a:ext>
                <a:ext uri="{FF2B5EF4-FFF2-40B4-BE49-F238E27FC236}">
                  <a16:creationId xmlns:a16="http://schemas.microsoft.com/office/drawing/2014/main" id="{3B7F3D04-124D-9391-DDE0-6E792FD4723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Stromart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0</xdr:colOff>
      <xdr:row>41</xdr:row>
      <xdr:rowOff>0</xdr:rowOff>
    </xdr:to>
    <xdr:sp macro="" textlink="">
      <xdr:nvSpPr>
        <xdr:cNvPr id="2" name="Rectangle: Rounded Corners 1">
          <a:extLst>
            <a:ext uri="{FF2B5EF4-FFF2-40B4-BE49-F238E27FC236}">
              <a16:creationId xmlns:a16="http://schemas.microsoft.com/office/drawing/2014/main" id="{3A792C98-1895-4CC7-B99F-973525B1E28F}"/>
            </a:ext>
          </a:extLst>
        </xdr:cNvPr>
        <xdr:cNvSpPr/>
      </xdr:nvSpPr>
      <xdr:spPr>
        <a:xfrm>
          <a:off x="0" y="3352800"/>
          <a:ext cx="1314450" cy="1981200"/>
        </a:xfrm>
        <a:prstGeom prst="roundRect">
          <a:avLst/>
        </a:prstGeom>
        <a:solidFill>
          <a:srgbClr val="E1E1E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900">
              <a:solidFill>
                <a:srgbClr val="000000"/>
              </a:solidFill>
              <a:latin typeface="Arial" panose="020B0604020202020204" pitchFamily="34" charset="0"/>
            </a:rPr>
            <a:t>Legende</a:t>
          </a:r>
        </a:p>
      </xdr:txBody>
    </xdr:sp>
    <xdr:clientData/>
  </xdr:twoCellAnchor>
  <xdr:twoCellAnchor>
    <xdr:from>
      <xdr:col>0</xdr:col>
      <xdr:colOff>0</xdr:colOff>
      <xdr:row>26</xdr:row>
      <xdr:rowOff>0</xdr:rowOff>
    </xdr:from>
    <xdr:to>
      <xdr:col>1</xdr:col>
      <xdr:colOff>0</xdr:colOff>
      <xdr:row>28</xdr:row>
      <xdr:rowOff>0</xdr:rowOff>
    </xdr:to>
    <xdr:sp macro="" textlink="">
      <xdr:nvSpPr>
        <xdr:cNvPr id="3" name="Rectangle: Rounded Corners 2">
          <a:extLst>
            <a:ext uri="{FF2B5EF4-FFF2-40B4-BE49-F238E27FC236}">
              <a16:creationId xmlns:a16="http://schemas.microsoft.com/office/drawing/2014/main" id="{E98554AE-64EE-4AED-8ECA-7EB412D626C4}"/>
            </a:ext>
          </a:extLst>
        </xdr:cNvPr>
        <xdr:cNvSpPr/>
      </xdr:nvSpPr>
      <xdr:spPr>
        <a:xfrm>
          <a:off x="0" y="3048000"/>
          <a:ext cx="1314450" cy="304800"/>
        </a:xfrm>
        <a:prstGeom prst="roundRect">
          <a:avLst/>
        </a:prstGeom>
        <a:solidFill>
          <a:srgbClr val="7DDD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900">
              <a:solidFill>
                <a:srgbClr val="000000"/>
              </a:solidFill>
              <a:latin typeface="Arial" panose="020B0604020202020204" pitchFamily="34" charset="0"/>
            </a:rPr>
            <a:t>Ein-/ausblenden:</a:t>
          </a:r>
        </a:p>
      </xdr:txBody>
    </xdr:sp>
    <xdr:clientData/>
  </xdr:twoCellAnchor>
  <mc:AlternateContent xmlns:mc="http://schemas.openxmlformats.org/markup-compatibility/2006">
    <mc:Choice xmlns:a14="http://schemas.microsoft.com/office/drawing/2010/main" Requires="a14">
      <xdr:twoCellAnchor>
        <xdr:from>
          <xdr:col>0</xdr:col>
          <xdr:colOff>0</xdr:colOff>
          <xdr:row>11</xdr:row>
          <xdr:rowOff>0</xdr:rowOff>
        </xdr:from>
        <xdr:to>
          <xdr:col>2</xdr:col>
          <xdr:colOff>0</xdr:colOff>
          <xdr:row>12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FB9AB52B-B4A1-4823-82E0-F15454F957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Auswerten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171450</xdr:rowOff>
        </xdr:from>
        <xdr:to>
          <xdr:col>8</xdr:col>
          <xdr:colOff>790575</xdr:colOff>
          <xdr:row>11</xdr:row>
          <xdr:rowOff>323850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5B89EC0D-360A-483B-9107-7414088D2C5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323850</xdr:rowOff>
        </xdr:from>
        <xdr:to>
          <xdr:col>8</xdr:col>
          <xdr:colOff>790575</xdr:colOff>
          <xdr:row>11</xdr:row>
          <xdr:rowOff>476250</xdr:rowOff>
        </xdr:to>
        <xdr:sp macro="" textlink="">
          <xdr:nvSpPr>
            <xdr:cNvPr id="8195" name="Button 3" hidden="1">
              <a:extLst>
                <a:ext uri="{63B3BB69-23CF-44E3-9099-C40C66FF867C}">
                  <a14:compatExt spid="_x0000_s8195"/>
                </a:ext>
                <a:ext uri="{FF2B5EF4-FFF2-40B4-BE49-F238E27FC236}">
                  <a16:creationId xmlns:a16="http://schemas.microsoft.com/office/drawing/2014/main" id="{2F851A92-2234-4669-B132-72E1DD0512B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0</xdr:rowOff>
        </xdr:from>
        <xdr:to>
          <xdr:col>0</xdr:col>
          <xdr:colOff>828675</xdr:colOff>
          <xdr:row>11</xdr:row>
          <xdr:rowOff>0</xdr:rowOff>
        </xdr:to>
        <xdr:sp macro="" textlink="">
          <xdr:nvSpPr>
            <xdr:cNvPr id="8196" name="Button 4" hidden="1">
              <a:extLst>
                <a:ext uri="{63B3BB69-23CF-44E3-9099-C40C66FF867C}">
                  <a14:compatExt spid="_x0000_s8196"/>
                </a:ext>
                <a:ext uri="{FF2B5EF4-FFF2-40B4-BE49-F238E27FC236}">
                  <a16:creationId xmlns:a16="http://schemas.microsoft.com/office/drawing/2014/main" id="{A1F0FF22-15CF-4999-8886-CF3B5717C5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Rückgängig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828675</xdr:colOff>
          <xdr:row>10</xdr:row>
          <xdr:rowOff>0</xdr:rowOff>
        </xdr:from>
        <xdr:to>
          <xdr:col>2</xdr:col>
          <xdr:colOff>0</xdr:colOff>
          <xdr:row>11</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737988CD-FB7E-4554-94AE-5262A33911A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Zurücksetzen</a:t>
              </a:r>
            </a:p>
          </xdr:txBody>
        </xdr:sp>
        <xdr:clientData fPrintsWithSheet="0"/>
      </xdr:twoCellAnchor>
    </mc:Choice>
    <mc:Fallback/>
  </mc:AlternateContent>
  <xdr:twoCellAnchor>
    <xdr:from>
      <xdr:col>0</xdr:col>
      <xdr:colOff>26289</xdr:colOff>
      <xdr:row>30</xdr:row>
      <xdr:rowOff>0</xdr:rowOff>
    </xdr:from>
    <xdr:to>
      <xdr:col>0</xdr:col>
      <xdr:colOff>1288161</xdr:colOff>
      <xdr:row>32</xdr:row>
      <xdr:rowOff>0</xdr:rowOff>
    </xdr:to>
    <xdr:sp macro="" textlink="">
      <xdr:nvSpPr>
        <xdr:cNvPr id="4" name="Rectangle: Rounded Corners 3">
          <a:extLst>
            <a:ext uri="{FF2B5EF4-FFF2-40B4-BE49-F238E27FC236}">
              <a16:creationId xmlns:a16="http://schemas.microsoft.com/office/drawing/2014/main" id="{A44B5806-8675-4976-B052-76A4E37E3424}"/>
            </a:ext>
          </a:extLst>
        </xdr:cNvPr>
        <xdr:cNvSpPr/>
      </xdr:nvSpPr>
      <xdr:spPr>
        <a:xfrm>
          <a:off x="26289" y="3657600"/>
          <a:ext cx="1261872" cy="304800"/>
        </a:xfrm>
        <a:prstGeom prst="roundRect">
          <a:avLst/>
        </a:prstGeom>
        <a:solidFill>
          <a:srgbClr val="E2EFDA"/>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a:solidFill>
                <a:srgbClr val="000000"/>
              </a:solidFill>
              <a:latin typeface="Arial" panose="020B0604020202020204" pitchFamily="34" charset="0"/>
            </a:rPr>
            <a:t>Kopfzeilen</a:t>
          </a:r>
        </a:p>
      </xdr:txBody>
    </xdr:sp>
    <xdr:clientData/>
  </xdr:twoCellAnchor>
  <xdr:twoCellAnchor>
    <xdr:from>
      <xdr:col>0</xdr:col>
      <xdr:colOff>26289</xdr:colOff>
      <xdr:row>32</xdr:row>
      <xdr:rowOff>0</xdr:rowOff>
    </xdr:from>
    <xdr:to>
      <xdr:col>0</xdr:col>
      <xdr:colOff>1288161</xdr:colOff>
      <xdr:row>34</xdr:row>
      <xdr:rowOff>0</xdr:rowOff>
    </xdr:to>
    <xdr:sp macro="" textlink="">
      <xdr:nvSpPr>
        <xdr:cNvPr id="5" name="Rectangle: Rounded Corners 4">
          <a:extLst>
            <a:ext uri="{FF2B5EF4-FFF2-40B4-BE49-F238E27FC236}">
              <a16:creationId xmlns:a16="http://schemas.microsoft.com/office/drawing/2014/main" id="{4DDB2C87-946C-4947-B4AC-9BF8A3426EAB}"/>
            </a:ext>
          </a:extLst>
        </xdr:cNvPr>
        <xdr:cNvSpPr/>
      </xdr:nvSpPr>
      <xdr:spPr>
        <a:xfrm>
          <a:off x="26289" y="3962400"/>
          <a:ext cx="1261872" cy="304800"/>
        </a:xfrm>
        <a:prstGeom prst="roundRect">
          <a:avLst/>
        </a:prstGeom>
        <a:solidFill>
          <a:srgbClr val="FFAEC9"/>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a:solidFill>
                <a:srgbClr val="000000"/>
              </a:solidFill>
              <a:latin typeface="Arial" panose="020B0604020202020204" pitchFamily="34" charset="0"/>
            </a:rPr>
            <a:t>Benötigte Werte</a:t>
          </a:r>
        </a:p>
      </xdr:txBody>
    </xdr:sp>
    <xdr:clientData/>
  </xdr:twoCellAnchor>
  <xdr:twoCellAnchor>
    <xdr:from>
      <xdr:col>0</xdr:col>
      <xdr:colOff>26289</xdr:colOff>
      <xdr:row>34</xdr:row>
      <xdr:rowOff>0</xdr:rowOff>
    </xdr:from>
    <xdr:to>
      <xdr:col>0</xdr:col>
      <xdr:colOff>1288161</xdr:colOff>
      <xdr:row>36</xdr:row>
      <xdr:rowOff>0</xdr:rowOff>
    </xdr:to>
    <xdr:sp macro="" textlink="">
      <xdr:nvSpPr>
        <xdr:cNvPr id="6" name="Rectangle: Rounded Corners 5">
          <a:extLst>
            <a:ext uri="{FF2B5EF4-FFF2-40B4-BE49-F238E27FC236}">
              <a16:creationId xmlns:a16="http://schemas.microsoft.com/office/drawing/2014/main" id="{6B550145-EEDA-404E-8844-3253E223DE2F}"/>
            </a:ext>
          </a:extLst>
        </xdr:cNvPr>
        <xdr:cNvSpPr/>
      </xdr:nvSpPr>
      <xdr:spPr>
        <a:xfrm>
          <a:off x="26289" y="4267200"/>
          <a:ext cx="1261872" cy="304800"/>
        </a:xfrm>
        <a:prstGeom prst="round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i="1">
              <a:solidFill>
                <a:srgbClr val="000000"/>
              </a:solidFill>
              <a:latin typeface="Arial" panose="020B0604020202020204" pitchFamily="34" charset="0"/>
            </a:rPr>
            <a:t>Autom. ergänzte Werte</a:t>
          </a:r>
        </a:p>
      </xdr:txBody>
    </xdr:sp>
    <xdr:clientData/>
  </xdr:twoCellAnchor>
  <xdr:twoCellAnchor>
    <xdr:from>
      <xdr:col>0</xdr:col>
      <xdr:colOff>26289</xdr:colOff>
      <xdr:row>36</xdr:row>
      <xdr:rowOff>0</xdr:rowOff>
    </xdr:from>
    <xdr:to>
      <xdr:col>0</xdr:col>
      <xdr:colOff>1288161</xdr:colOff>
      <xdr:row>38</xdr:row>
      <xdr:rowOff>0</xdr:rowOff>
    </xdr:to>
    <xdr:sp macro="" textlink="">
      <xdr:nvSpPr>
        <xdr:cNvPr id="7" name="Rectangle: Rounded Corners 6">
          <a:extLst>
            <a:ext uri="{FF2B5EF4-FFF2-40B4-BE49-F238E27FC236}">
              <a16:creationId xmlns:a16="http://schemas.microsoft.com/office/drawing/2014/main" id="{28FF933D-2009-4179-93DA-7C7A38BA5438}"/>
            </a:ext>
          </a:extLst>
        </xdr:cNvPr>
        <xdr:cNvSpPr/>
      </xdr:nvSpPr>
      <xdr:spPr>
        <a:xfrm>
          <a:off x="26289" y="4572000"/>
          <a:ext cx="1261872" cy="304800"/>
        </a:xfrm>
        <a:prstGeom prst="round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i="1">
              <a:solidFill>
                <a:srgbClr val="646464"/>
              </a:solidFill>
              <a:latin typeface="Arial" panose="020B0604020202020204" pitchFamily="34" charset="0"/>
            </a:rPr>
            <a:t>Berechnete Werte</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0</xdr:rowOff>
        </xdr:from>
        <xdr:to>
          <xdr:col>1</xdr:col>
          <xdr:colOff>0</xdr:colOff>
          <xdr:row>15</xdr:row>
          <xdr:rowOff>57150</xdr:rowOff>
        </xdr:to>
        <xdr:sp macro="" textlink="">
          <xdr:nvSpPr>
            <xdr:cNvPr id="8198" name="Ausblenden_5_33_alle_plus_Gew1" hidden="1">
              <a:extLst>
                <a:ext uri="{63B3BB69-23CF-44E3-9099-C40C66FF867C}">
                  <a14:compatExt spid="_x0000_s8198"/>
                </a:ext>
                <a:ext uri="{FF2B5EF4-FFF2-40B4-BE49-F238E27FC236}">
                  <a16:creationId xmlns:a16="http://schemas.microsoft.com/office/drawing/2014/main" id="{CDB874B4-6CB7-4966-A64A-9C3BEEDBB6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Alle Spalten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0</xdr:colOff>
          <xdr:row>16</xdr:row>
          <xdr:rowOff>57150</xdr:rowOff>
        </xdr:to>
        <xdr:sp macro="" textlink="">
          <xdr:nvSpPr>
            <xdr:cNvPr id="8199" name="Ausblenden_5_10" hidden="1">
              <a:extLst>
                <a:ext uri="{63B3BB69-23CF-44E3-9099-C40C66FF867C}">
                  <a14:compatExt spid="_x0000_s8199"/>
                </a:ext>
                <a:ext uri="{FF2B5EF4-FFF2-40B4-BE49-F238E27FC236}">
                  <a16:creationId xmlns:a16="http://schemas.microsoft.com/office/drawing/2014/main" id="{2517938D-8A5F-4A2B-9668-76FFF08304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Geräteinfo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1</xdr:col>
          <xdr:colOff>0</xdr:colOff>
          <xdr:row>17</xdr:row>
          <xdr:rowOff>57150</xdr:rowOff>
        </xdr:to>
        <xdr:sp macro="" textlink="">
          <xdr:nvSpPr>
            <xdr:cNvPr id="8200" name="Ausblenden_11_14" hidden="1">
              <a:extLst>
                <a:ext uri="{63B3BB69-23CF-44E3-9099-C40C66FF867C}">
                  <a14:compatExt spid="_x0000_s8200"/>
                </a:ext>
                <a:ext uri="{FF2B5EF4-FFF2-40B4-BE49-F238E27FC236}">
                  <a16:creationId xmlns:a16="http://schemas.microsoft.com/office/drawing/2014/main" id="{D3479296-7231-49CD-B3A1-1C60C43DEF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Topologie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0</xdr:colOff>
          <xdr:row>18</xdr:row>
          <xdr:rowOff>57150</xdr:rowOff>
        </xdr:to>
        <xdr:sp macro="" textlink="">
          <xdr:nvSpPr>
            <xdr:cNvPr id="8201" name="Ausblenden_15_16" hidden="1">
              <a:extLst>
                <a:ext uri="{63B3BB69-23CF-44E3-9099-C40C66FF867C}">
                  <a14:compatExt spid="_x0000_s8201"/>
                </a:ext>
                <a:ext uri="{FF2B5EF4-FFF2-40B4-BE49-F238E27FC236}">
                  <a16:creationId xmlns:a16="http://schemas.microsoft.com/office/drawing/2014/main" id="{B695697B-2DD4-4394-8785-783EDD6F46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Geräteart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1</xdr:col>
          <xdr:colOff>0</xdr:colOff>
          <xdr:row>19</xdr:row>
          <xdr:rowOff>57150</xdr:rowOff>
        </xdr:to>
        <xdr:sp macro="" textlink="">
          <xdr:nvSpPr>
            <xdr:cNvPr id="8202" name="Ausblenden_17_22_plus_Gew1" hidden="1">
              <a:extLst>
                <a:ext uri="{63B3BB69-23CF-44E3-9099-C40C66FF867C}">
                  <a14:compatExt spid="_x0000_s8202"/>
                </a:ext>
                <a:ext uri="{FF2B5EF4-FFF2-40B4-BE49-F238E27FC236}">
                  <a16:creationId xmlns:a16="http://schemas.microsoft.com/office/drawing/2014/main" id="{B195D095-7A13-48CE-B93B-BD57F4B52D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Zugehörigkeit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0</xdr:colOff>
          <xdr:row>20</xdr:row>
          <xdr:rowOff>57150</xdr:rowOff>
        </xdr:to>
        <xdr:sp macro="" textlink="">
          <xdr:nvSpPr>
            <xdr:cNvPr id="8203" name="Ausblenden_23_23_plus_Gew2" hidden="1">
              <a:extLst>
                <a:ext uri="{63B3BB69-23CF-44E3-9099-C40C66FF867C}">
                  <a14:compatExt spid="_x0000_s8203"/>
                </a:ext>
                <a:ext uri="{FF2B5EF4-FFF2-40B4-BE49-F238E27FC236}">
                  <a16:creationId xmlns:a16="http://schemas.microsoft.com/office/drawing/2014/main" id="{1121B316-18FA-4D42-AE3C-D7D6C361AEE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Zeitanteil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1</xdr:col>
          <xdr:colOff>0</xdr:colOff>
          <xdr:row>21</xdr:row>
          <xdr:rowOff>57150</xdr:rowOff>
        </xdr:to>
        <xdr:sp macro="" textlink="">
          <xdr:nvSpPr>
            <xdr:cNvPr id="8204" name="Ausblenden_24_25_plus_Gew2" hidden="1">
              <a:extLst>
                <a:ext uri="{63B3BB69-23CF-44E3-9099-C40C66FF867C}">
                  <a14:compatExt spid="_x0000_s8204"/>
                </a:ext>
                <a:ext uri="{FF2B5EF4-FFF2-40B4-BE49-F238E27FC236}">
                  <a16:creationId xmlns:a16="http://schemas.microsoft.com/office/drawing/2014/main" id="{B5F424D1-5971-45DA-A8C5-C81271D079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Nominalbetrieb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0</xdr:colOff>
          <xdr:row>22</xdr:row>
          <xdr:rowOff>57150</xdr:rowOff>
        </xdr:to>
        <xdr:sp macro="" textlink="">
          <xdr:nvSpPr>
            <xdr:cNvPr id="8205" name="Ausblenden_26_29_plus_Gew2" hidden="1">
              <a:extLst>
                <a:ext uri="{63B3BB69-23CF-44E3-9099-C40C66FF867C}">
                  <a14:compatExt spid="_x0000_s8205"/>
                </a:ext>
                <a:ext uri="{FF2B5EF4-FFF2-40B4-BE49-F238E27FC236}">
                  <a16:creationId xmlns:a16="http://schemas.microsoft.com/office/drawing/2014/main" id="{D76F3BE8-3CCC-455C-9F60-9FDD313EBD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Leistungsaufnahme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0</xdr:colOff>
          <xdr:row>23</xdr:row>
          <xdr:rowOff>57150</xdr:rowOff>
        </xdr:to>
        <xdr:sp macro="" textlink="">
          <xdr:nvSpPr>
            <xdr:cNvPr id="8206" name="Ausblenden_30_33_plus_Gew2" hidden="1">
              <a:extLst>
                <a:ext uri="{63B3BB69-23CF-44E3-9099-C40C66FF867C}">
                  <a14:compatExt spid="_x0000_s8206"/>
                </a:ext>
                <a:ext uri="{FF2B5EF4-FFF2-40B4-BE49-F238E27FC236}">
                  <a16:creationId xmlns:a16="http://schemas.microsoft.com/office/drawing/2014/main" id="{52991CB9-4D3B-4D51-8675-8D1454C9E7D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Beleuchtung</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0</xdr:colOff>
      <xdr:row>41</xdr:row>
      <xdr:rowOff>0</xdr:rowOff>
    </xdr:to>
    <xdr:sp macro="" textlink="">
      <xdr:nvSpPr>
        <xdr:cNvPr id="2" name="Rectangle: Rounded Corners 1">
          <a:extLst>
            <a:ext uri="{FF2B5EF4-FFF2-40B4-BE49-F238E27FC236}">
              <a16:creationId xmlns:a16="http://schemas.microsoft.com/office/drawing/2014/main" id="{F6FA1882-F9BB-45EC-9180-FA260C23DD78}"/>
            </a:ext>
          </a:extLst>
        </xdr:cNvPr>
        <xdr:cNvSpPr/>
      </xdr:nvSpPr>
      <xdr:spPr>
        <a:xfrm>
          <a:off x="0" y="3352800"/>
          <a:ext cx="1314450" cy="1981200"/>
        </a:xfrm>
        <a:prstGeom prst="roundRect">
          <a:avLst/>
        </a:prstGeom>
        <a:solidFill>
          <a:srgbClr val="E1E1E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900">
              <a:solidFill>
                <a:srgbClr val="000000"/>
              </a:solidFill>
              <a:latin typeface="Arial" panose="020B0604020202020204" pitchFamily="34" charset="0"/>
            </a:rPr>
            <a:t>Legende</a:t>
          </a:r>
        </a:p>
      </xdr:txBody>
    </xdr:sp>
    <xdr:clientData/>
  </xdr:twoCellAnchor>
  <xdr:twoCellAnchor>
    <xdr:from>
      <xdr:col>0</xdr:col>
      <xdr:colOff>0</xdr:colOff>
      <xdr:row>26</xdr:row>
      <xdr:rowOff>0</xdr:rowOff>
    </xdr:from>
    <xdr:to>
      <xdr:col>1</xdr:col>
      <xdr:colOff>0</xdr:colOff>
      <xdr:row>28</xdr:row>
      <xdr:rowOff>0</xdr:rowOff>
    </xdr:to>
    <xdr:sp macro="" textlink="">
      <xdr:nvSpPr>
        <xdr:cNvPr id="3" name="Rectangle: Rounded Corners 2">
          <a:extLst>
            <a:ext uri="{FF2B5EF4-FFF2-40B4-BE49-F238E27FC236}">
              <a16:creationId xmlns:a16="http://schemas.microsoft.com/office/drawing/2014/main" id="{F5503607-17EB-49A3-9466-749C9D75CA58}"/>
            </a:ext>
          </a:extLst>
        </xdr:cNvPr>
        <xdr:cNvSpPr/>
      </xdr:nvSpPr>
      <xdr:spPr>
        <a:xfrm>
          <a:off x="0" y="3048000"/>
          <a:ext cx="1314450" cy="304800"/>
        </a:xfrm>
        <a:prstGeom prst="roundRect">
          <a:avLst/>
        </a:prstGeom>
        <a:solidFill>
          <a:srgbClr val="7DDD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900">
              <a:solidFill>
                <a:srgbClr val="000000"/>
              </a:solidFill>
              <a:latin typeface="Arial" panose="020B0604020202020204" pitchFamily="34" charset="0"/>
            </a:rPr>
            <a:t>Ein-/ausblenden:</a:t>
          </a:r>
        </a:p>
      </xdr:txBody>
    </xdr:sp>
    <xdr:clientData/>
  </xdr:twoCellAnchor>
  <mc:AlternateContent xmlns:mc="http://schemas.openxmlformats.org/markup-compatibility/2006">
    <mc:Choice xmlns:a14="http://schemas.microsoft.com/office/drawing/2010/main" Requires="a14">
      <xdr:twoCellAnchor>
        <xdr:from>
          <xdr:col>0</xdr:col>
          <xdr:colOff>0</xdr:colOff>
          <xdr:row>11</xdr:row>
          <xdr:rowOff>0</xdr:rowOff>
        </xdr:from>
        <xdr:to>
          <xdr:col>2</xdr:col>
          <xdr:colOff>0</xdr:colOff>
          <xdr:row>12</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5C6BE962-E667-453E-94A7-B842A0AF2EB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Auswerten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171450</xdr:rowOff>
        </xdr:from>
        <xdr:to>
          <xdr:col>8</xdr:col>
          <xdr:colOff>790575</xdr:colOff>
          <xdr:row>11</xdr:row>
          <xdr:rowOff>323850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ACBA8F56-6FF9-4147-BB32-7230D20FAE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323850</xdr:rowOff>
        </xdr:from>
        <xdr:to>
          <xdr:col>8</xdr:col>
          <xdr:colOff>790575</xdr:colOff>
          <xdr:row>11</xdr:row>
          <xdr:rowOff>476250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FD67FDFF-4C43-4845-9466-6585F1E46E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0</xdr:rowOff>
        </xdr:from>
        <xdr:to>
          <xdr:col>0</xdr:col>
          <xdr:colOff>828675</xdr:colOff>
          <xdr:row>11</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457CF51A-0CF8-48E1-A2FE-E636125EF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Rückgängig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828675</xdr:colOff>
          <xdr:row>10</xdr:row>
          <xdr:rowOff>0</xdr:rowOff>
        </xdr:from>
        <xdr:to>
          <xdr:col>2</xdr:col>
          <xdr:colOff>0</xdr:colOff>
          <xdr:row>11</xdr:row>
          <xdr:rowOff>0</xdr:rowOff>
        </xdr:to>
        <xdr:sp macro="" textlink="">
          <xdr:nvSpPr>
            <xdr:cNvPr id="9221" name="Button 5" hidden="1">
              <a:extLst>
                <a:ext uri="{63B3BB69-23CF-44E3-9099-C40C66FF867C}">
                  <a14:compatExt spid="_x0000_s9221"/>
                </a:ext>
                <a:ext uri="{FF2B5EF4-FFF2-40B4-BE49-F238E27FC236}">
                  <a16:creationId xmlns:a16="http://schemas.microsoft.com/office/drawing/2014/main" id="{11408C09-F198-4D21-93D6-F2450B8B88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Zurücksetzen</a:t>
              </a:r>
            </a:p>
          </xdr:txBody>
        </xdr:sp>
        <xdr:clientData fPrintsWithSheet="0"/>
      </xdr:twoCellAnchor>
    </mc:Choice>
    <mc:Fallback/>
  </mc:AlternateContent>
  <xdr:twoCellAnchor>
    <xdr:from>
      <xdr:col>0</xdr:col>
      <xdr:colOff>26289</xdr:colOff>
      <xdr:row>30</xdr:row>
      <xdr:rowOff>0</xdr:rowOff>
    </xdr:from>
    <xdr:to>
      <xdr:col>0</xdr:col>
      <xdr:colOff>1288161</xdr:colOff>
      <xdr:row>32</xdr:row>
      <xdr:rowOff>0</xdr:rowOff>
    </xdr:to>
    <xdr:sp macro="" textlink="">
      <xdr:nvSpPr>
        <xdr:cNvPr id="4" name="Rectangle: Rounded Corners 3">
          <a:extLst>
            <a:ext uri="{FF2B5EF4-FFF2-40B4-BE49-F238E27FC236}">
              <a16:creationId xmlns:a16="http://schemas.microsoft.com/office/drawing/2014/main" id="{99E5F93D-7D85-47D1-A5FD-AE58FB0319E2}"/>
            </a:ext>
          </a:extLst>
        </xdr:cNvPr>
        <xdr:cNvSpPr/>
      </xdr:nvSpPr>
      <xdr:spPr>
        <a:xfrm>
          <a:off x="26289" y="3657600"/>
          <a:ext cx="1261872" cy="304800"/>
        </a:xfrm>
        <a:prstGeom prst="roundRect">
          <a:avLst/>
        </a:prstGeom>
        <a:solidFill>
          <a:srgbClr val="E2EFDA"/>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a:solidFill>
                <a:srgbClr val="000000"/>
              </a:solidFill>
              <a:latin typeface="Arial" panose="020B0604020202020204" pitchFamily="34" charset="0"/>
            </a:rPr>
            <a:t>Kopfzeilen</a:t>
          </a:r>
        </a:p>
      </xdr:txBody>
    </xdr:sp>
    <xdr:clientData/>
  </xdr:twoCellAnchor>
  <xdr:twoCellAnchor>
    <xdr:from>
      <xdr:col>0</xdr:col>
      <xdr:colOff>26289</xdr:colOff>
      <xdr:row>32</xdr:row>
      <xdr:rowOff>0</xdr:rowOff>
    </xdr:from>
    <xdr:to>
      <xdr:col>0</xdr:col>
      <xdr:colOff>1288161</xdr:colOff>
      <xdr:row>34</xdr:row>
      <xdr:rowOff>0</xdr:rowOff>
    </xdr:to>
    <xdr:sp macro="" textlink="">
      <xdr:nvSpPr>
        <xdr:cNvPr id="5" name="Rectangle: Rounded Corners 4">
          <a:extLst>
            <a:ext uri="{FF2B5EF4-FFF2-40B4-BE49-F238E27FC236}">
              <a16:creationId xmlns:a16="http://schemas.microsoft.com/office/drawing/2014/main" id="{D202349E-3265-4D7C-B1F0-9217F0147F7D}"/>
            </a:ext>
          </a:extLst>
        </xdr:cNvPr>
        <xdr:cNvSpPr/>
      </xdr:nvSpPr>
      <xdr:spPr>
        <a:xfrm>
          <a:off x="26289" y="3962400"/>
          <a:ext cx="1261872" cy="304800"/>
        </a:xfrm>
        <a:prstGeom prst="roundRect">
          <a:avLst/>
        </a:prstGeom>
        <a:solidFill>
          <a:srgbClr val="FFAEC9"/>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a:solidFill>
                <a:srgbClr val="000000"/>
              </a:solidFill>
              <a:latin typeface="Arial" panose="020B0604020202020204" pitchFamily="34" charset="0"/>
            </a:rPr>
            <a:t>Benötigte Werte</a:t>
          </a:r>
        </a:p>
      </xdr:txBody>
    </xdr:sp>
    <xdr:clientData/>
  </xdr:twoCellAnchor>
  <xdr:twoCellAnchor>
    <xdr:from>
      <xdr:col>0</xdr:col>
      <xdr:colOff>26289</xdr:colOff>
      <xdr:row>34</xdr:row>
      <xdr:rowOff>0</xdr:rowOff>
    </xdr:from>
    <xdr:to>
      <xdr:col>0</xdr:col>
      <xdr:colOff>1288161</xdr:colOff>
      <xdr:row>36</xdr:row>
      <xdr:rowOff>0</xdr:rowOff>
    </xdr:to>
    <xdr:sp macro="" textlink="">
      <xdr:nvSpPr>
        <xdr:cNvPr id="6" name="Rectangle: Rounded Corners 5">
          <a:extLst>
            <a:ext uri="{FF2B5EF4-FFF2-40B4-BE49-F238E27FC236}">
              <a16:creationId xmlns:a16="http://schemas.microsoft.com/office/drawing/2014/main" id="{5817AD16-A0D7-4BE4-A99A-BACAA1A3ED25}"/>
            </a:ext>
          </a:extLst>
        </xdr:cNvPr>
        <xdr:cNvSpPr/>
      </xdr:nvSpPr>
      <xdr:spPr>
        <a:xfrm>
          <a:off x="26289" y="4267200"/>
          <a:ext cx="1261872" cy="304800"/>
        </a:xfrm>
        <a:prstGeom prst="round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i="1">
              <a:solidFill>
                <a:srgbClr val="000000"/>
              </a:solidFill>
              <a:latin typeface="Arial" panose="020B0604020202020204" pitchFamily="34" charset="0"/>
            </a:rPr>
            <a:t>Autom. ergänzte Werte</a:t>
          </a:r>
        </a:p>
      </xdr:txBody>
    </xdr:sp>
    <xdr:clientData/>
  </xdr:twoCellAnchor>
  <xdr:twoCellAnchor>
    <xdr:from>
      <xdr:col>0</xdr:col>
      <xdr:colOff>26289</xdr:colOff>
      <xdr:row>36</xdr:row>
      <xdr:rowOff>0</xdr:rowOff>
    </xdr:from>
    <xdr:to>
      <xdr:col>0</xdr:col>
      <xdr:colOff>1288161</xdr:colOff>
      <xdr:row>38</xdr:row>
      <xdr:rowOff>0</xdr:rowOff>
    </xdr:to>
    <xdr:sp macro="" textlink="">
      <xdr:nvSpPr>
        <xdr:cNvPr id="7" name="Rectangle: Rounded Corners 6">
          <a:extLst>
            <a:ext uri="{FF2B5EF4-FFF2-40B4-BE49-F238E27FC236}">
              <a16:creationId xmlns:a16="http://schemas.microsoft.com/office/drawing/2014/main" id="{D625024A-E956-43AC-BEE1-844AAEA3C127}"/>
            </a:ext>
          </a:extLst>
        </xdr:cNvPr>
        <xdr:cNvSpPr/>
      </xdr:nvSpPr>
      <xdr:spPr>
        <a:xfrm>
          <a:off x="26289" y="4572000"/>
          <a:ext cx="1261872" cy="304800"/>
        </a:xfrm>
        <a:prstGeom prst="round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i="1">
              <a:solidFill>
                <a:srgbClr val="646464"/>
              </a:solidFill>
              <a:latin typeface="Arial" panose="020B0604020202020204" pitchFamily="34" charset="0"/>
            </a:rPr>
            <a:t>Berechnete Werte</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0</xdr:rowOff>
        </xdr:from>
        <xdr:to>
          <xdr:col>1</xdr:col>
          <xdr:colOff>0</xdr:colOff>
          <xdr:row>15</xdr:row>
          <xdr:rowOff>57150</xdr:rowOff>
        </xdr:to>
        <xdr:sp macro="" textlink="">
          <xdr:nvSpPr>
            <xdr:cNvPr id="9222" name="Ausblenden_5_33_alle_plus_Gew1" hidden="1">
              <a:extLst>
                <a:ext uri="{63B3BB69-23CF-44E3-9099-C40C66FF867C}">
                  <a14:compatExt spid="_x0000_s9222"/>
                </a:ext>
                <a:ext uri="{FF2B5EF4-FFF2-40B4-BE49-F238E27FC236}">
                  <a16:creationId xmlns:a16="http://schemas.microsoft.com/office/drawing/2014/main" id="{7D04C6EC-7517-4CB1-960F-F4B5D599F4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Alle Spalten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0</xdr:colOff>
          <xdr:row>16</xdr:row>
          <xdr:rowOff>57150</xdr:rowOff>
        </xdr:to>
        <xdr:sp macro="" textlink="">
          <xdr:nvSpPr>
            <xdr:cNvPr id="9223" name="Ausblenden_5_10" hidden="1">
              <a:extLst>
                <a:ext uri="{63B3BB69-23CF-44E3-9099-C40C66FF867C}">
                  <a14:compatExt spid="_x0000_s9223"/>
                </a:ext>
                <a:ext uri="{FF2B5EF4-FFF2-40B4-BE49-F238E27FC236}">
                  <a16:creationId xmlns:a16="http://schemas.microsoft.com/office/drawing/2014/main" id="{3082CB33-C5E5-48E5-9929-51F9AA5C90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Geräteinfo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1</xdr:col>
          <xdr:colOff>0</xdr:colOff>
          <xdr:row>17</xdr:row>
          <xdr:rowOff>57150</xdr:rowOff>
        </xdr:to>
        <xdr:sp macro="" textlink="">
          <xdr:nvSpPr>
            <xdr:cNvPr id="9224" name="Ausblenden_11_14" hidden="1">
              <a:extLst>
                <a:ext uri="{63B3BB69-23CF-44E3-9099-C40C66FF867C}">
                  <a14:compatExt spid="_x0000_s9224"/>
                </a:ext>
                <a:ext uri="{FF2B5EF4-FFF2-40B4-BE49-F238E27FC236}">
                  <a16:creationId xmlns:a16="http://schemas.microsoft.com/office/drawing/2014/main" id="{1AD73983-5E4E-45AE-9EB7-385EDCDFC7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Topologie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0</xdr:colOff>
          <xdr:row>18</xdr:row>
          <xdr:rowOff>57150</xdr:rowOff>
        </xdr:to>
        <xdr:sp macro="" textlink="">
          <xdr:nvSpPr>
            <xdr:cNvPr id="9225" name="Ausblenden_15_16" hidden="1">
              <a:extLst>
                <a:ext uri="{63B3BB69-23CF-44E3-9099-C40C66FF867C}">
                  <a14:compatExt spid="_x0000_s9225"/>
                </a:ext>
                <a:ext uri="{FF2B5EF4-FFF2-40B4-BE49-F238E27FC236}">
                  <a16:creationId xmlns:a16="http://schemas.microsoft.com/office/drawing/2014/main" id="{821D94F5-8FE8-4FDA-9159-9FBFB10E0B0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Geräteart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1</xdr:col>
          <xdr:colOff>0</xdr:colOff>
          <xdr:row>19</xdr:row>
          <xdr:rowOff>57150</xdr:rowOff>
        </xdr:to>
        <xdr:sp macro="" textlink="">
          <xdr:nvSpPr>
            <xdr:cNvPr id="9226" name="Ausblenden_17_22_plus_Gew1" hidden="1">
              <a:extLst>
                <a:ext uri="{63B3BB69-23CF-44E3-9099-C40C66FF867C}">
                  <a14:compatExt spid="_x0000_s9226"/>
                </a:ext>
                <a:ext uri="{FF2B5EF4-FFF2-40B4-BE49-F238E27FC236}">
                  <a16:creationId xmlns:a16="http://schemas.microsoft.com/office/drawing/2014/main" id="{033C1F86-3E2D-4926-8FFB-6D2A87F9B2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Zugehörigkeit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0</xdr:colOff>
          <xdr:row>20</xdr:row>
          <xdr:rowOff>57150</xdr:rowOff>
        </xdr:to>
        <xdr:sp macro="" textlink="">
          <xdr:nvSpPr>
            <xdr:cNvPr id="9227" name="Ausblenden_23_23_plus_Gew2" hidden="1">
              <a:extLst>
                <a:ext uri="{63B3BB69-23CF-44E3-9099-C40C66FF867C}">
                  <a14:compatExt spid="_x0000_s9227"/>
                </a:ext>
                <a:ext uri="{FF2B5EF4-FFF2-40B4-BE49-F238E27FC236}">
                  <a16:creationId xmlns:a16="http://schemas.microsoft.com/office/drawing/2014/main" id="{755ABFE5-D505-4600-9702-B617509499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Zeitanteil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1</xdr:col>
          <xdr:colOff>0</xdr:colOff>
          <xdr:row>21</xdr:row>
          <xdr:rowOff>57150</xdr:rowOff>
        </xdr:to>
        <xdr:sp macro="" textlink="">
          <xdr:nvSpPr>
            <xdr:cNvPr id="9228" name="Ausblenden_24_25_plus_Gew2" hidden="1">
              <a:extLst>
                <a:ext uri="{63B3BB69-23CF-44E3-9099-C40C66FF867C}">
                  <a14:compatExt spid="_x0000_s9228"/>
                </a:ext>
                <a:ext uri="{FF2B5EF4-FFF2-40B4-BE49-F238E27FC236}">
                  <a16:creationId xmlns:a16="http://schemas.microsoft.com/office/drawing/2014/main" id="{A853A7C9-9B00-47D7-88FC-E4D015C465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Nominalbetrieb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0</xdr:colOff>
          <xdr:row>22</xdr:row>
          <xdr:rowOff>57150</xdr:rowOff>
        </xdr:to>
        <xdr:sp macro="" textlink="">
          <xdr:nvSpPr>
            <xdr:cNvPr id="9229" name="Ausblenden_26_29_plus_Gew2" hidden="1">
              <a:extLst>
                <a:ext uri="{63B3BB69-23CF-44E3-9099-C40C66FF867C}">
                  <a14:compatExt spid="_x0000_s9229"/>
                </a:ext>
                <a:ext uri="{FF2B5EF4-FFF2-40B4-BE49-F238E27FC236}">
                  <a16:creationId xmlns:a16="http://schemas.microsoft.com/office/drawing/2014/main" id="{ADA489E9-AC2E-48D4-A0EC-5E3B333B5E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Leistungsaufnahme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0</xdr:colOff>
          <xdr:row>23</xdr:row>
          <xdr:rowOff>57150</xdr:rowOff>
        </xdr:to>
        <xdr:sp macro="" textlink="">
          <xdr:nvSpPr>
            <xdr:cNvPr id="9230" name="Ausblenden_30_33_plus_Gew2" hidden="1">
              <a:extLst>
                <a:ext uri="{63B3BB69-23CF-44E3-9099-C40C66FF867C}">
                  <a14:compatExt spid="_x0000_s9230"/>
                </a:ext>
                <a:ext uri="{FF2B5EF4-FFF2-40B4-BE49-F238E27FC236}">
                  <a16:creationId xmlns:a16="http://schemas.microsoft.com/office/drawing/2014/main" id="{8B7BB90A-CEAB-41CE-A7F6-EA4B37DD59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Beleuchtung</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27</xdr:row>
      <xdr:rowOff>139700</xdr:rowOff>
    </xdr:from>
    <xdr:to>
      <xdr:col>1</xdr:col>
      <xdr:colOff>0</xdr:colOff>
      <xdr:row>36</xdr:row>
      <xdr:rowOff>76200</xdr:rowOff>
    </xdr:to>
    <xdr:sp macro="" textlink="">
      <xdr:nvSpPr>
        <xdr:cNvPr id="3" name="Rectangle: Rounded Corners 2">
          <a:extLst>
            <a:ext uri="{FF2B5EF4-FFF2-40B4-BE49-F238E27FC236}">
              <a16:creationId xmlns:a16="http://schemas.microsoft.com/office/drawing/2014/main" id="{F838BCAE-3A5F-6052-2ABE-F62BE9CD9F3D}"/>
            </a:ext>
          </a:extLst>
        </xdr:cNvPr>
        <xdr:cNvSpPr/>
      </xdr:nvSpPr>
      <xdr:spPr>
        <a:xfrm>
          <a:off x="0" y="3340100"/>
          <a:ext cx="1314450" cy="1308100"/>
        </a:xfrm>
        <a:prstGeom prst="roundRect">
          <a:avLst>
            <a:gd name="adj" fmla="val 12000"/>
          </a:avLst>
        </a:prstGeom>
        <a:solidFill>
          <a:srgbClr val="E1E1E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900">
              <a:solidFill>
                <a:srgbClr val="000000"/>
              </a:solidFill>
              <a:latin typeface="Arial" panose="020B0604020202020204" pitchFamily="34" charset="0"/>
            </a:rPr>
            <a:t>Legende</a:t>
          </a:r>
        </a:p>
      </xdr:txBody>
    </xdr:sp>
    <xdr:clientData/>
  </xdr:twoCellAnchor>
  <xdr:twoCellAnchor>
    <xdr:from>
      <xdr:col>0</xdr:col>
      <xdr:colOff>0</xdr:colOff>
      <xdr:row>14</xdr:row>
      <xdr:rowOff>0</xdr:rowOff>
    </xdr:from>
    <xdr:to>
      <xdr:col>1</xdr:col>
      <xdr:colOff>0</xdr:colOff>
      <xdr:row>27</xdr:row>
      <xdr:rowOff>139700</xdr:rowOff>
    </xdr:to>
    <xdr:sp macro="" textlink="">
      <xdr:nvSpPr>
        <xdr:cNvPr id="2" name="Rectangle: Rounded Corners 1">
          <a:extLst>
            <a:ext uri="{FF2B5EF4-FFF2-40B4-BE49-F238E27FC236}">
              <a16:creationId xmlns:a16="http://schemas.microsoft.com/office/drawing/2014/main" id="{EB13D3C6-96A1-1F8B-B84E-122AED650026}"/>
            </a:ext>
          </a:extLst>
        </xdr:cNvPr>
        <xdr:cNvSpPr/>
      </xdr:nvSpPr>
      <xdr:spPr>
        <a:xfrm>
          <a:off x="0" y="1219200"/>
          <a:ext cx="1314450" cy="2120900"/>
        </a:xfrm>
        <a:prstGeom prst="roundRect">
          <a:avLst>
            <a:gd name="adj" fmla="val 12000"/>
          </a:avLst>
        </a:prstGeom>
        <a:solidFill>
          <a:srgbClr val="7DDD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900">
              <a:solidFill>
                <a:srgbClr val="000000"/>
              </a:solidFill>
              <a:latin typeface="Arial" panose="020B0604020202020204" pitchFamily="34" charset="0"/>
            </a:rPr>
            <a:t>Ein-/ausblenden:</a:t>
          </a:r>
        </a:p>
      </xdr:txBody>
    </xdr:sp>
    <xdr:clientData/>
  </xdr:twoCellAnchor>
  <mc:AlternateContent xmlns:mc="http://schemas.openxmlformats.org/markup-compatibility/2006">
    <mc:Choice xmlns:a14="http://schemas.microsoft.com/office/drawing/2010/main" Requires="a14">
      <xdr:twoCellAnchor>
        <xdr:from>
          <xdr:col>0</xdr:col>
          <xdr:colOff>0</xdr:colOff>
          <xdr:row>11</xdr:row>
          <xdr:rowOff>0</xdr:rowOff>
        </xdr:from>
        <xdr:to>
          <xdr:col>2</xdr:col>
          <xdr:colOff>0</xdr:colOff>
          <xdr:row>12</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2595F53C-71D5-9758-CBB2-05269AA0EEA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Auswerten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171450</xdr:rowOff>
        </xdr:from>
        <xdr:to>
          <xdr:col>8</xdr:col>
          <xdr:colOff>790575</xdr:colOff>
          <xdr:row>11</xdr:row>
          <xdr:rowOff>323850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5D4A3DBD-A08B-7B6C-E168-AC6B847AC0F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323850</xdr:rowOff>
        </xdr:from>
        <xdr:to>
          <xdr:col>8</xdr:col>
          <xdr:colOff>790575</xdr:colOff>
          <xdr:row>11</xdr:row>
          <xdr:rowOff>476250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792E509E-E051-2F14-117A-7CCACB58AD4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0</xdr:rowOff>
        </xdr:from>
        <xdr:to>
          <xdr:col>0</xdr:col>
          <xdr:colOff>828675</xdr:colOff>
          <xdr:row>11</xdr:row>
          <xdr:rowOff>0</xdr:rowOff>
        </xdr:to>
        <xdr:sp macro="" textlink="">
          <xdr:nvSpPr>
            <xdr:cNvPr id="3076" name="Button 4" hidden="1">
              <a:extLst>
                <a:ext uri="{63B3BB69-23CF-44E3-9099-C40C66FF867C}">
                  <a14:compatExt spid="_x0000_s3076"/>
                </a:ext>
                <a:ext uri="{FF2B5EF4-FFF2-40B4-BE49-F238E27FC236}">
                  <a16:creationId xmlns:a16="http://schemas.microsoft.com/office/drawing/2014/main" id="{DFEDADE0-1ABA-CEF8-91F9-9581285872E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Rückgängig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828675</xdr:colOff>
          <xdr:row>10</xdr:row>
          <xdr:rowOff>0</xdr:rowOff>
        </xdr:from>
        <xdr:to>
          <xdr:col>2</xdr:col>
          <xdr:colOff>0</xdr:colOff>
          <xdr:row>11</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C8FA6210-A3C9-CB2E-8D95-FEA223F0ABE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900" b="0" i="0" u="none" strike="noStrike" baseline="0">
                  <a:solidFill>
                    <a:srgbClr val="000000"/>
                  </a:solidFill>
                  <a:latin typeface="Arial"/>
                  <a:cs typeface="Arial"/>
                </a:rPr>
                <a:t>Zurücksetzen</a:t>
              </a:r>
            </a:p>
          </xdr:txBody>
        </xdr:sp>
        <xdr:clientData fPrintsWithSheet="0"/>
      </xdr:twoCellAnchor>
    </mc:Choice>
    <mc:Fallback/>
  </mc:AlternateContent>
  <xdr:twoCellAnchor>
    <xdr:from>
      <xdr:col>0</xdr:col>
      <xdr:colOff>26289</xdr:colOff>
      <xdr:row>29</xdr:row>
      <xdr:rowOff>127000</xdr:rowOff>
    </xdr:from>
    <xdr:to>
      <xdr:col>0</xdr:col>
      <xdr:colOff>1288161</xdr:colOff>
      <xdr:row>31</xdr:row>
      <xdr:rowOff>127000</xdr:rowOff>
    </xdr:to>
    <xdr:sp macro="" textlink="">
      <xdr:nvSpPr>
        <xdr:cNvPr id="4" name="Rectangle: Rounded Corners 3">
          <a:extLst>
            <a:ext uri="{FF2B5EF4-FFF2-40B4-BE49-F238E27FC236}">
              <a16:creationId xmlns:a16="http://schemas.microsoft.com/office/drawing/2014/main" id="{DC98BB24-E142-CE21-AD96-2B64CB8269C2}"/>
            </a:ext>
          </a:extLst>
        </xdr:cNvPr>
        <xdr:cNvSpPr/>
      </xdr:nvSpPr>
      <xdr:spPr>
        <a:xfrm>
          <a:off x="26289" y="3632200"/>
          <a:ext cx="1261872" cy="304800"/>
        </a:xfrm>
        <a:prstGeom prst="roundRect">
          <a:avLst/>
        </a:prstGeom>
        <a:solidFill>
          <a:srgbClr val="E2EFDA"/>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a:solidFill>
                <a:srgbClr val="000000"/>
              </a:solidFill>
              <a:latin typeface="Arial" panose="020B0604020202020204" pitchFamily="34" charset="0"/>
            </a:rPr>
            <a:t>Kopfzeilen</a:t>
          </a:r>
        </a:p>
      </xdr:txBody>
    </xdr:sp>
    <xdr:clientData/>
  </xdr:twoCellAnchor>
  <xdr:twoCellAnchor>
    <xdr:from>
      <xdr:col>0</xdr:col>
      <xdr:colOff>26289</xdr:colOff>
      <xdr:row>31</xdr:row>
      <xdr:rowOff>50800</xdr:rowOff>
    </xdr:from>
    <xdr:to>
      <xdr:col>0</xdr:col>
      <xdr:colOff>1288161</xdr:colOff>
      <xdr:row>33</xdr:row>
      <xdr:rowOff>50800</xdr:rowOff>
    </xdr:to>
    <xdr:sp macro="" textlink="">
      <xdr:nvSpPr>
        <xdr:cNvPr id="5" name="Rectangle: Rounded Corners 4">
          <a:extLst>
            <a:ext uri="{FF2B5EF4-FFF2-40B4-BE49-F238E27FC236}">
              <a16:creationId xmlns:a16="http://schemas.microsoft.com/office/drawing/2014/main" id="{491D81BE-B44D-15AF-5D05-5C7A1541BC78}"/>
            </a:ext>
          </a:extLst>
        </xdr:cNvPr>
        <xdr:cNvSpPr/>
      </xdr:nvSpPr>
      <xdr:spPr>
        <a:xfrm>
          <a:off x="26289" y="3860800"/>
          <a:ext cx="1261872" cy="304800"/>
        </a:xfrm>
        <a:prstGeom prst="roundRect">
          <a:avLst/>
        </a:prstGeom>
        <a:solidFill>
          <a:srgbClr val="FFAEC9"/>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a:solidFill>
                <a:srgbClr val="000000"/>
              </a:solidFill>
              <a:latin typeface="Arial" panose="020B0604020202020204" pitchFamily="34" charset="0"/>
            </a:rPr>
            <a:t>Benötigte Werte</a:t>
          </a:r>
        </a:p>
      </xdr:txBody>
    </xdr:sp>
    <xdr:clientData/>
  </xdr:twoCellAnchor>
  <xdr:twoCellAnchor>
    <xdr:from>
      <xdr:col>0</xdr:col>
      <xdr:colOff>26289</xdr:colOff>
      <xdr:row>32</xdr:row>
      <xdr:rowOff>127000</xdr:rowOff>
    </xdr:from>
    <xdr:to>
      <xdr:col>0</xdr:col>
      <xdr:colOff>1288161</xdr:colOff>
      <xdr:row>34</xdr:row>
      <xdr:rowOff>127000</xdr:rowOff>
    </xdr:to>
    <xdr:sp macro="" textlink="">
      <xdr:nvSpPr>
        <xdr:cNvPr id="6" name="Rectangle: Rounded Corners 5">
          <a:extLst>
            <a:ext uri="{FF2B5EF4-FFF2-40B4-BE49-F238E27FC236}">
              <a16:creationId xmlns:a16="http://schemas.microsoft.com/office/drawing/2014/main" id="{2C6F6DCB-3501-5354-4C5C-CE10CE1F4068}"/>
            </a:ext>
          </a:extLst>
        </xdr:cNvPr>
        <xdr:cNvSpPr/>
      </xdr:nvSpPr>
      <xdr:spPr>
        <a:xfrm>
          <a:off x="26289" y="4089400"/>
          <a:ext cx="1261872" cy="304800"/>
        </a:xfrm>
        <a:prstGeom prst="round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i="1">
              <a:solidFill>
                <a:srgbClr val="000000"/>
              </a:solidFill>
              <a:latin typeface="Arial" panose="020B0604020202020204" pitchFamily="34" charset="0"/>
            </a:rPr>
            <a:t>Autom. ergänzte Werte</a:t>
          </a:r>
        </a:p>
      </xdr:txBody>
    </xdr:sp>
    <xdr:clientData/>
  </xdr:twoCellAnchor>
  <xdr:twoCellAnchor>
    <xdr:from>
      <xdr:col>0</xdr:col>
      <xdr:colOff>26289</xdr:colOff>
      <xdr:row>34</xdr:row>
      <xdr:rowOff>50800</xdr:rowOff>
    </xdr:from>
    <xdr:to>
      <xdr:col>0</xdr:col>
      <xdr:colOff>1288161</xdr:colOff>
      <xdr:row>35</xdr:row>
      <xdr:rowOff>127000</xdr:rowOff>
    </xdr:to>
    <xdr:sp macro="" textlink="">
      <xdr:nvSpPr>
        <xdr:cNvPr id="7" name="Rectangle: Rounded Corners 6">
          <a:extLst>
            <a:ext uri="{FF2B5EF4-FFF2-40B4-BE49-F238E27FC236}">
              <a16:creationId xmlns:a16="http://schemas.microsoft.com/office/drawing/2014/main" id="{6D893488-45A3-92D2-F098-3D84713D8966}"/>
            </a:ext>
          </a:extLst>
        </xdr:cNvPr>
        <xdr:cNvSpPr/>
      </xdr:nvSpPr>
      <xdr:spPr>
        <a:xfrm>
          <a:off x="26289" y="4318000"/>
          <a:ext cx="1261872" cy="228600"/>
        </a:xfrm>
        <a:prstGeom prst="round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CH" sz="800" i="1">
              <a:solidFill>
                <a:srgbClr val="646464"/>
              </a:solidFill>
              <a:latin typeface="Arial" panose="020B0604020202020204" pitchFamily="34" charset="0"/>
            </a:rPr>
            <a:t>Berechnete Werte</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15</xdr:row>
          <xdr:rowOff>91440</xdr:rowOff>
        </xdr:from>
        <xdr:to>
          <xdr:col>1</xdr:col>
          <xdr:colOff>114300</xdr:colOff>
          <xdr:row>16</xdr:row>
          <xdr:rowOff>148590</xdr:rowOff>
        </xdr:to>
        <xdr:sp macro="" textlink="">
          <xdr:nvSpPr>
            <xdr:cNvPr id="3078" name="Ausblenden_5_33_alle_plus_Gew1" hidden="1">
              <a:extLst>
                <a:ext uri="{63B3BB69-23CF-44E3-9099-C40C66FF867C}">
                  <a14:compatExt spid="_x0000_s3078"/>
                </a:ext>
                <a:ext uri="{FF2B5EF4-FFF2-40B4-BE49-F238E27FC236}">
                  <a16:creationId xmlns:a16="http://schemas.microsoft.com/office/drawing/2014/main" id="{A956F7A3-5D70-9342-1F44-5BBAEACB137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Alle Spalten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xdr:row>
          <xdr:rowOff>144780</xdr:rowOff>
        </xdr:from>
        <xdr:to>
          <xdr:col>1</xdr:col>
          <xdr:colOff>114300</xdr:colOff>
          <xdr:row>18</xdr:row>
          <xdr:rowOff>49530</xdr:rowOff>
        </xdr:to>
        <xdr:sp macro="" textlink="">
          <xdr:nvSpPr>
            <xdr:cNvPr id="3079" name="Ausblenden_5_10" hidden="1">
              <a:extLst>
                <a:ext uri="{63B3BB69-23CF-44E3-9099-C40C66FF867C}">
                  <a14:compatExt spid="_x0000_s3079"/>
                </a:ext>
                <a:ext uri="{FF2B5EF4-FFF2-40B4-BE49-F238E27FC236}">
                  <a16:creationId xmlns:a16="http://schemas.microsoft.com/office/drawing/2014/main" id="{C86C4C8B-1EEB-CA04-C77E-03FBA924B5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Geräteinfo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xdr:row>
          <xdr:rowOff>45720</xdr:rowOff>
        </xdr:from>
        <xdr:to>
          <xdr:col>1</xdr:col>
          <xdr:colOff>114300</xdr:colOff>
          <xdr:row>19</xdr:row>
          <xdr:rowOff>102870</xdr:rowOff>
        </xdr:to>
        <xdr:sp macro="" textlink="">
          <xdr:nvSpPr>
            <xdr:cNvPr id="3080" name="Ausblenden_11_14" hidden="1">
              <a:extLst>
                <a:ext uri="{63B3BB69-23CF-44E3-9099-C40C66FF867C}">
                  <a14:compatExt spid="_x0000_s3080"/>
                </a:ext>
                <a:ext uri="{FF2B5EF4-FFF2-40B4-BE49-F238E27FC236}">
                  <a16:creationId xmlns:a16="http://schemas.microsoft.com/office/drawing/2014/main" id="{0EB9306F-64F3-7B80-2B2D-BA6EB82E2C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Topologie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xdr:row>
          <xdr:rowOff>99060</xdr:rowOff>
        </xdr:from>
        <xdr:to>
          <xdr:col>1</xdr:col>
          <xdr:colOff>114300</xdr:colOff>
          <xdr:row>21</xdr:row>
          <xdr:rowOff>3810</xdr:rowOff>
        </xdr:to>
        <xdr:sp macro="" textlink="">
          <xdr:nvSpPr>
            <xdr:cNvPr id="3081" name="Ausblenden_15_16" hidden="1">
              <a:extLst>
                <a:ext uri="{63B3BB69-23CF-44E3-9099-C40C66FF867C}">
                  <a14:compatExt spid="_x0000_s3081"/>
                </a:ext>
                <a:ext uri="{FF2B5EF4-FFF2-40B4-BE49-F238E27FC236}">
                  <a16:creationId xmlns:a16="http://schemas.microsoft.com/office/drawing/2014/main" id="{90C387A8-9343-DC40-190A-13B1432675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Geräteart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0</xdr:rowOff>
        </xdr:from>
        <xdr:to>
          <xdr:col>1</xdr:col>
          <xdr:colOff>114300</xdr:colOff>
          <xdr:row>22</xdr:row>
          <xdr:rowOff>57150</xdr:rowOff>
        </xdr:to>
        <xdr:sp macro="" textlink="">
          <xdr:nvSpPr>
            <xdr:cNvPr id="3082" name="Ausblenden_17_22_plus_Gew1" hidden="1">
              <a:extLst>
                <a:ext uri="{63B3BB69-23CF-44E3-9099-C40C66FF867C}">
                  <a14:compatExt spid="_x0000_s3082"/>
                </a:ext>
                <a:ext uri="{FF2B5EF4-FFF2-40B4-BE49-F238E27FC236}">
                  <a16:creationId xmlns:a16="http://schemas.microsoft.com/office/drawing/2014/main" id="{F470D2DA-5C84-04CE-CFF1-ACB412324F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Zugehörigkeit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xdr:row>
          <xdr:rowOff>53340</xdr:rowOff>
        </xdr:from>
        <xdr:to>
          <xdr:col>1</xdr:col>
          <xdr:colOff>114300</xdr:colOff>
          <xdr:row>23</xdr:row>
          <xdr:rowOff>110490</xdr:rowOff>
        </xdr:to>
        <xdr:sp macro="" textlink="">
          <xdr:nvSpPr>
            <xdr:cNvPr id="3083" name="Ausblenden_23_23_plus_Gew2" hidden="1">
              <a:extLst>
                <a:ext uri="{63B3BB69-23CF-44E3-9099-C40C66FF867C}">
                  <a14:compatExt spid="_x0000_s3083"/>
                </a:ext>
                <a:ext uri="{FF2B5EF4-FFF2-40B4-BE49-F238E27FC236}">
                  <a16:creationId xmlns:a16="http://schemas.microsoft.com/office/drawing/2014/main" id="{E4DE2152-477D-2ACE-79AF-7463E6DB69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Zeitanteil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xdr:row>
          <xdr:rowOff>106680</xdr:rowOff>
        </xdr:from>
        <xdr:to>
          <xdr:col>1</xdr:col>
          <xdr:colOff>114300</xdr:colOff>
          <xdr:row>25</xdr:row>
          <xdr:rowOff>11430</xdr:rowOff>
        </xdr:to>
        <xdr:sp macro="" textlink="">
          <xdr:nvSpPr>
            <xdr:cNvPr id="3084" name="Ausblenden_24_25_plus_Gew2" hidden="1">
              <a:extLst>
                <a:ext uri="{63B3BB69-23CF-44E3-9099-C40C66FF867C}">
                  <a14:compatExt spid="_x0000_s3084"/>
                </a:ext>
                <a:ext uri="{FF2B5EF4-FFF2-40B4-BE49-F238E27FC236}">
                  <a16:creationId xmlns:a16="http://schemas.microsoft.com/office/drawing/2014/main" id="{C97A399C-7261-9AF4-B5B7-79ADA244DD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Nominalbetrieb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xdr:row>
          <xdr:rowOff>7620</xdr:rowOff>
        </xdr:from>
        <xdr:to>
          <xdr:col>1</xdr:col>
          <xdr:colOff>114300</xdr:colOff>
          <xdr:row>26</xdr:row>
          <xdr:rowOff>64770</xdr:rowOff>
        </xdr:to>
        <xdr:sp macro="" textlink="">
          <xdr:nvSpPr>
            <xdr:cNvPr id="3085" name="Ausblenden_26_29_plus_Gew2" hidden="1">
              <a:extLst>
                <a:ext uri="{63B3BB69-23CF-44E3-9099-C40C66FF867C}">
                  <a14:compatExt spid="_x0000_s3085"/>
                </a:ext>
                <a:ext uri="{FF2B5EF4-FFF2-40B4-BE49-F238E27FC236}">
                  <a16:creationId xmlns:a16="http://schemas.microsoft.com/office/drawing/2014/main" id="{0FFC278B-78D2-D0C0-5461-1D771AFBB1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Leistungsaufnahme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xdr:row>
          <xdr:rowOff>60960</xdr:rowOff>
        </xdr:from>
        <xdr:to>
          <xdr:col>1</xdr:col>
          <xdr:colOff>114300</xdr:colOff>
          <xdr:row>27</xdr:row>
          <xdr:rowOff>118110</xdr:rowOff>
        </xdr:to>
        <xdr:sp macro="" textlink="">
          <xdr:nvSpPr>
            <xdr:cNvPr id="3086" name="Ausblenden_30_33_plus_Gew2" hidden="1">
              <a:extLst>
                <a:ext uri="{63B3BB69-23CF-44E3-9099-C40C66FF867C}">
                  <a14:compatExt spid="_x0000_s3086"/>
                </a:ext>
                <a:ext uri="{FF2B5EF4-FFF2-40B4-BE49-F238E27FC236}">
                  <a16:creationId xmlns:a16="http://schemas.microsoft.com/office/drawing/2014/main" id="{219A76C5-0A35-0072-B312-3EFF3855753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de-CH" sz="800" b="0" i="0" u="none" strike="noStrike" baseline="0">
                  <a:solidFill>
                    <a:srgbClr val="000000"/>
                  </a:solidFill>
                  <a:latin typeface="Segoe UI"/>
                  <a:cs typeface="Segoe UI"/>
                </a:rPr>
                <a:t>Beleuchtung</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11</xdr:row>
          <xdr:rowOff>0</xdr:rowOff>
        </xdr:from>
        <xdr:to>
          <xdr:col>4</xdr:col>
          <xdr:colOff>257175</xdr:colOff>
          <xdr:row>12</xdr:row>
          <xdr:rowOff>0</xdr:rowOff>
        </xdr:to>
        <xdr:sp macro="" textlink="">
          <xdr:nvSpPr>
            <xdr:cNvPr id="5121" name="1" hidden="1">
              <a:extLst>
                <a:ext uri="{63B3BB69-23CF-44E3-9099-C40C66FF867C}">
                  <a14:compatExt spid="_x0000_s5121"/>
                </a:ext>
                <a:ext uri="{FF2B5EF4-FFF2-40B4-BE49-F238E27FC236}">
                  <a16:creationId xmlns:a16="http://schemas.microsoft.com/office/drawing/2014/main" id="{C0631D6F-2F73-56E9-6DF5-E2E293068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11</xdr:row>
          <xdr:rowOff>0</xdr:rowOff>
        </xdr:from>
        <xdr:to>
          <xdr:col>5</xdr:col>
          <xdr:colOff>0</xdr:colOff>
          <xdr:row>12</xdr:row>
          <xdr:rowOff>0</xdr:rowOff>
        </xdr:to>
        <xdr:sp macro="" textlink="">
          <xdr:nvSpPr>
            <xdr:cNvPr id="5122" name="-1" hidden="1">
              <a:extLst>
                <a:ext uri="{63B3BB69-23CF-44E3-9099-C40C66FF867C}">
                  <a14:compatExt spid="_x0000_s5122"/>
                </a:ext>
                <a:ext uri="{FF2B5EF4-FFF2-40B4-BE49-F238E27FC236}">
                  <a16:creationId xmlns:a16="http://schemas.microsoft.com/office/drawing/2014/main" id="{3A809A3F-78A1-4098-3A67-75B199880D2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12</xdr:row>
          <xdr:rowOff>0</xdr:rowOff>
        </xdr:from>
        <xdr:to>
          <xdr:col>4</xdr:col>
          <xdr:colOff>257175</xdr:colOff>
          <xdr:row>13</xdr:row>
          <xdr:rowOff>0</xdr:rowOff>
        </xdr:to>
        <xdr:sp macro="" textlink="">
          <xdr:nvSpPr>
            <xdr:cNvPr id="5123" name="2" hidden="1">
              <a:extLst>
                <a:ext uri="{63B3BB69-23CF-44E3-9099-C40C66FF867C}">
                  <a14:compatExt spid="_x0000_s5123"/>
                </a:ext>
                <a:ext uri="{FF2B5EF4-FFF2-40B4-BE49-F238E27FC236}">
                  <a16:creationId xmlns:a16="http://schemas.microsoft.com/office/drawing/2014/main" id="{7044F80D-9351-E915-6F11-27B97FD1F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12</xdr:row>
          <xdr:rowOff>0</xdr:rowOff>
        </xdr:from>
        <xdr:to>
          <xdr:col>5</xdr:col>
          <xdr:colOff>0</xdr:colOff>
          <xdr:row>13</xdr:row>
          <xdr:rowOff>0</xdr:rowOff>
        </xdr:to>
        <xdr:sp macro="" textlink="">
          <xdr:nvSpPr>
            <xdr:cNvPr id="5124" name="-2" hidden="1">
              <a:extLst>
                <a:ext uri="{63B3BB69-23CF-44E3-9099-C40C66FF867C}">
                  <a14:compatExt spid="_x0000_s5124"/>
                </a:ext>
                <a:ext uri="{FF2B5EF4-FFF2-40B4-BE49-F238E27FC236}">
                  <a16:creationId xmlns:a16="http://schemas.microsoft.com/office/drawing/2014/main" id="{5F2D4818-18E5-1C38-940B-0C7EE840C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4</xdr:col>
          <xdr:colOff>257175</xdr:colOff>
          <xdr:row>14</xdr:row>
          <xdr:rowOff>0</xdr:rowOff>
        </xdr:to>
        <xdr:sp macro="" textlink="">
          <xdr:nvSpPr>
            <xdr:cNvPr id="5125" name="3" hidden="1">
              <a:extLst>
                <a:ext uri="{63B3BB69-23CF-44E3-9099-C40C66FF867C}">
                  <a14:compatExt spid="_x0000_s5125"/>
                </a:ext>
                <a:ext uri="{FF2B5EF4-FFF2-40B4-BE49-F238E27FC236}">
                  <a16:creationId xmlns:a16="http://schemas.microsoft.com/office/drawing/2014/main" id="{C136CA5B-ED2C-13E5-FE16-FF055BF4E7F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13</xdr:row>
          <xdr:rowOff>0</xdr:rowOff>
        </xdr:from>
        <xdr:to>
          <xdr:col>5</xdr:col>
          <xdr:colOff>0</xdr:colOff>
          <xdr:row>14</xdr:row>
          <xdr:rowOff>0</xdr:rowOff>
        </xdr:to>
        <xdr:sp macro="" textlink="">
          <xdr:nvSpPr>
            <xdr:cNvPr id="5126" name="-3" hidden="1">
              <a:extLst>
                <a:ext uri="{63B3BB69-23CF-44E3-9099-C40C66FF867C}">
                  <a14:compatExt spid="_x0000_s5126"/>
                </a:ext>
                <a:ext uri="{FF2B5EF4-FFF2-40B4-BE49-F238E27FC236}">
                  <a16:creationId xmlns:a16="http://schemas.microsoft.com/office/drawing/2014/main" id="{0B10956C-D5E1-7FC6-AB7F-CF647468F3C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14</xdr:row>
          <xdr:rowOff>0</xdr:rowOff>
        </xdr:from>
        <xdr:to>
          <xdr:col>4</xdr:col>
          <xdr:colOff>257175</xdr:colOff>
          <xdr:row>15</xdr:row>
          <xdr:rowOff>0</xdr:rowOff>
        </xdr:to>
        <xdr:sp macro="" textlink="">
          <xdr:nvSpPr>
            <xdr:cNvPr id="5127" name="4" hidden="1">
              <a:extLst>
                <a:ext uri="{63B3BB69-23CF-44E3-9099-C40C66FF867C}">
                  <a14:compatExt spid="_x0000_s5127"/>
                </a:ext>
                <a:ext uri="{FF2B5EF4-FFF2-40B4-BE49-F238E27FC236}">
                  <a16:creationId xmlns:a16="http://schemas.microsoft.com/office/drawing/2014/main" id="{011B921B-8082-FE78-95ED-75DF1F9520C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14</xdr:row>
          <xdr:rowOff>0</xdr:rowOff>
        </xdr:from>
        <xdr:to>
          <xdr:col>5</xdr:col>
          <xdr:colOff>0</xdr:colOff>
          <xdr:row>15</xdr:row>
          <xdr:rowOff>0</xdr:rowOff>
        </xdr:to>
        <xdr:sp macro="" textlink="">
          <xdr:nvSpPr>
            <xdr:cNvPr id="5128" name="-4" hidden="1">
              <a:extLst>
                <a:ext uri="{63B3BB69-23CF-44E3-9099-C40C66FF867C}">
                  <a14:compatExt spid="_x0000_s5128"/>
                </a:ext>
                <a:ext uri="{FF2B5EF4-FFF2-40B4-BE49-F238E27FC236}">
                  <a16:creationId xmlns:a16="http://schemas.microsoft.com/office/drawing/2014/main" id="{8CD8AFD3-1342-4D94-D5B7-210F92839C6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15</xdr:row>
          <xdr:rowOff>0</xdr:rowOff>
        </xdr:from>
        <xdr:to>
          <xdr:col>4</xdr:col>
          <xdr:colOff>257175</xdr:colOff>
          <xdr:row>16</xdr:row>
          <xdr:rowOff>0</xdr:rowOff>
        </xdr:to>
        <xdr:sp macro="" textlink="">
          <xdr:nvSpPr>
            <xdr:cNvPr id="5129" name="5" hidden="1">
              <a:extLst>
                <a:ext uri="{63B3BB69-23CF-44E3-9099-C40C66FF867C}">
                  <a14:compatExt spid="_x0000_s5129"/>
                </a:ext>
                <a:ext uri="{FF2B5EF4-FFF2-40B4-BE49-F238E27FC236}">
                  <a16:creationId xmlns:a16="http://schemas.microsoft.com/office/drawing/2014/main" id="{66098E9D-65A5-710E-AED2-5BA9123F43F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15</xdr:row>
          <xdr:rowOff>0</xdr:rowOff>
        </xdr:from>
        <xdr:to>
          <xdr:col>5</xdr:col>
          <xdr:colOff>0</xdr:colOff>
          <xdr:row>16</xdr:row>
          <xdr:rowOff>0</xdr:rowOff>
        </xdr:to>
        <xdr:sp macro="" textlink="">
          <xdr:nvSpPr>
            <xdr:cNvPr id="5130" name="-5" hidden="1">
              <a:extLst>
                <a:ext uri="{63B3BB69-23CF-44E3-9099-C40C66FF867C}">
                  <a14:compatExt spid="_x0000_s5130"/>
                </a:ext>
                <a:ext uri="{FF2B5EF4-FFF2-40B4-BE49-F238E27FC236}">
                  <a16:creationId xmlns:a16="http://schemas.microsoft.com/office/drawing/2014/main" id="{4CA7B977-5620-2184-52C9-9A943DB1D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16</xdr:row>
          <xdr:rowOff>0</xdr:rowOff>
        </xdr:from>
        <xdr:to>
          <xdr:col>4</xdr:col>
          <xdr:colOff>257175</xdr:colOff>
          <xdr:row>17</xdr:row>
          <xdr:rowOff>0</xdr:rowOff>
        </xdr:to>
        <xdr:sp macro="" textlink="">
          <xdr:nvSpPr>
            <xdr:cNvPr id="5131" name="6" hidden="1">
              <a:extLst>
                <a:ext uri="{63B3BB69-23CF-44E3-9099-C40C66FF867C}">
                  <a14:compatExt spid="_x0000_s5131"/>
                </a:ext>
                <a:ext uri="{FF2B5EF4-FFF2-40B4-BE49-F238E27FC236}">
                  <a16:creationId xmlns:a16="http://schemas.microsoft.com/office/drawing/2014/main" id="{3D44C917-3C95-63E6-D560-BB7DEC1724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16</xdr:row>
          <xdr:rowOff>0</xdr:rowOff>
        </xdr:from>
        <xdr:to>
          <xdr:col>5</xdr:col>
          <xdr:colOff>0</xdr:colOff>
          <xdr:row>17</xdr:row>
          <xdr:rowOff>0</xdr:rowOff>
        </xdr:to>
        <xdr:sp macro="" textlink="">
          <xdr:nvSpPr>
            <xdr:cNvPr id="5132" name="-6" hidden="1">
              <a:extLst>
                <a:ext uri="{63B3BB69-23CF-44E3-9099-C40C66FF867C}">
                  <a14:compatExt spid="_x0000_s5132"/>
                </a:ext>
                <a:ext uri="{FF2B5EF4-FFF2-40B4-BE49-F238E27FC236}">
                  <a16:creationId xmlns:a16="http://schemas.microsoft.com/office/drawing/2014/main" id="{D41CB179-5144-C3CD-7750-E63D3E226F9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17</xdr:row>
          <xdr:rowOff>0</xdr:rowOff>
        </xdr:from>
        <xdr:to>
          <xdr:col>4</xdr:col>
          <xdr:colOff>257175</xdr:colOff>
          <xdr:row>18</xdr:row>
          <xdr:rowOff>0</xdr:rowOff>
        </xdr:to>
        <xdr:sp macro="" textlink="">
          <xdr:nvSpPr>
            <xdr:cNvPr id="5133" name="7" hidden="1">
              <a:extLst>
                <a:ext uri="{63B3BB69-23CF-44E3-9099-C40C66FF867C}">
                  <a14:compatExt spid="_x0000_s5133"/>
                </a:ext>
                <a:ext uri="{FF2B5EF4-FFF2-40B4-BE49-F238E27FC236}">
                  <a16:creationId xmlns:a16="http://schemas.microsoft.com/office/drawing/2014/main" id="{88A42B63-1C21-536F-C0B0-E0F5C5A90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17</xdr:row>
          <xdr:rowOff>0</xdr:rowOff>
        </xdr:from>
        <xdr:to>
          <xdr:col>5</xdr:col>
          <xdr:colOff>0</xdr:colOff>
          <xdr:row>18</xdr:row>
          <xdr:rowOff>0</xdr:rowOff>
        </xdr:to>
        <xdr:sp macro="" textlink="">
          <xdr:nvSpPr>
            <xdr:cNvPr id="5134" name="-7" hidden="1">
              <a:extLst>
                <a:ext uri="{63B3BB69-23CF-44E3-9099-C40C66FF867C}">
                  <a14:compatExt spid="_x0000_s5134"/>
                </a:ext>
                <a:ext uri="{FF2B5EF4-FFF2-40B4-BE49-F238E27FC236}">
                  <a16:creationId xmlns:a16="http://schemas.microsoft.com/office/drawing/2014/main" id="{8E0E8568-E48E-027E-5574-D0C61C68725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18</xdr:row>
          <xdr:rowOff>0</xdr:rowOff>
        </xdr:from>
        <xdr:to>
          <xdr:col>4</xdr:col>
          <xdr:colOff>257175</xdr:colOff>
          <xdr:row>19</xdr:row>
          <xdr:rowOff>0</xdr:rowOff>
        </xdr:to>
        <xdr:sp macro="" textlink="">
          <xdr:nvSpPr>
            <xdr:cNvPr id="5135" name="8" hidden="1">
              <a:extLst>
                <a:ext uri="{63B3BB69-23CF-44E3-9099-C40C66FF867C}">
                  <a14:compatExt spid="_x0000_s5135"/>
                </a:ext>
                <a:ext uri="{FF2B5EF4-FFF2-40B4-BE49-F238E27FC236}">
                  <a16:creationId xmlns:a16="http://schemas.microsoft.com/office/drawing/2014/main" id="{CD82D48D-9E11-4010-8A4D-24ED748D7D6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18</xdr:row>
          <xdr:rowOff>0</xdr:rowOff>
        </xdr:from>
        <xdr:to>
          <xdr:col>5</xdr:col>
          <xdr:colOff>0</xdr:colOff>
          <xdr:row>19</xdr:row>
          <xdr:rowOff>0</xdr:rowOff>
        </xdr:to>
        <xdr:sp macro="" textlink="">
          <xdr:nvSpPr>
            <xdr:cNvPr id="5136" name="-8" hidden="1">
              <a:extLst>
                <a:ext uri="{63B3BB69-23CF-44E3-9099-C40C66FF867C}">
                  <a14:compatExt spid="_x0000_s5136"/>
                </a:ext>
                <a:ext uri="{FF2B5EF4-FFF2-40B4-BE49-F238E27FC236}">
                  <a16:creationId xmlns:a16="http://schemas.microsoft.com/office/drawing/2014/main" id="{134974FD-0521-461C-4C5F-A00348CC61E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19</xdr:row>
          <xdr:rowOff>0</xdr:rowOff>
        </xdr:from>
        <xdr:to>
          <xdr:col>4</xdr:col>
          <xdr:colOff>257175</xdr:colOff>
          <xdr:row>20</xdr:row>
          <xdr:rowOff>0</xdr:rowOff>
        </xdr:to>
        <xdr:sp macro="" textlink="">
          <xdr:nvSpPr>
            <xdr:cNvPr id="5137" name="9" hidden="1">
              <a:extLst>
                <a:ext uri="{63B3BB69-23CF-44E3-9099-C40C66FF867C}">
                  <a14:compatExt spid="_x0000_s5137"/>
                </a:ext>
                <a:ext uri="{FF2B5EF4-FFF2-40B4-BE49-F238E27FC236}">
                  <a16:creationId xmlns:a16="http://schemas.microsoft.com/office/drawing/2014/main" id="{90E85FF2-744C-6442-A728-4C32A54402F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19</xdr:row>
          <xdr:rowOff>0</xdr:rowOff>
        </xdr:from>
        <xdr:to>
          <xdr:col>5</xdr:col>
          <xdr:colOff>0</xdr:colOff>
          <xdr:row>20</xdr:row>
          <xdr:rowOff>0</xdr:rowOff>
        </xdr:to>
        <xdr:sp macro="" textlink="">
          <xdr:nvSpPr>
            <xdr:cNvPr id="5138" name="-9" hidden="1">
              <a:extLst>
                <a:ext uri="{63B3BB69-23CF-44E3-9099-C40C66FF867C}">
                  <a14:compatExt spid="_x0000_s5138"/>
                </a:ext>
                <a:ext uri="{FF2B5EF4-FFF2-40B4-BE49-F238E27FC236}">
                  <a16:creationId xmlns:a16="http://schemas.microsoft.com/office/drawing/2014/main" id="{90A4A2C8-3041-D067-CA81-CD1275E6D6D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4</xdr:col>
          <xdr:colOff>257175</xdr:colOff>
          <xdr:row>21</xdr:row>
          <xdr:rowOff>0</xdr:rowOff>
        </xdr:to>
        <xdr:sp macro="" textlink="">
          <xdr:nvSpPr>
            <xdr:cNvPr id="5139" name="10" hidden="1">
              <a:extLst>
                <a:ext uri="{63B3BB69-23CF-44E3-9099-C40C66FF867C}">
                  <a14:compatExt spid="_x0000_s5139"/>
                </a:ext>
                <a:ext uri="{FF2B5EF4-FFF2-40B4-BE49-F238E27FC236}">
                  <a16:creationId xmlns:a16="http://schemas.microsoft.com/office/drawing/2014/main" id="{02BDB228-8FA2-8610-6B9A-E6A552E7B6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20</xdr:row>
          <xdr:rowOff>0</xdr:rowOff>
        </xdr:from>
        <xdr:to>
          <xdr:col>5</xdr:col>
          <xdr:colOff>0</xdr:colOff>
          <xdr:row>21</xdr:row>
          <xdr:rowOff>0</xdr:rowOff>
        </xdr:to>
        <xdr:sp macro="" textlink="">
          <xdr:nvSpPr>
            <xdr:cNvPr id="5140" name="-10" hidden="1">
              <a:extLst>
                <a:ext uri="{63B3BB69-23CF-44E3-9099-C40C66FF867C}">
                  <a14:compatExt spid="_x0000_s5140"/>
                </a:ext>
                <a:ext uri="{FF2B5EF4-FFF2-40B4-BE49-F238E27FC236}">
                  <a16:creationId xmlns:a16="http://schemas.microsoft.com/office/drawing/2014/main" id="{342AD54E-F5ED-6BC0-764C-416D36BEF9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21</xdr:row>
          <xdr:rowOff>0</xdr:rowOff>
        </xdr:from>
        <xdr:to>
          <xdr:col>4</xdr:col>
          <xdr:colOff>257175</xdr:colOff>
          <xdr:row>22</xdr:row>
          <xdr:rowOff>0</xdr:rowOff>
        </xdr:to>
        <xdr:sp macro="" textlink="">
          <xdr:nvSpPr>
            <xdr:cNvPr id="5141" name="11" hidden="1">
              <a:extLst>
                <a:ext uri="{63B3BB69-23CF-44E3-9099-C40C66FF867C}">
                  <a14:compatExt spid="_x0000_s5141"/>
                </a:ext>
                <a:ext uri="{FF2B5EF4-FFF2-40B4-BE49-F238E27FC236}">
                  <a16:creationId xmlns:a16="http://schemas.microsoft.com/office/drawing/2014/main" id="{8B765137-AE67-7875-4ACE-FD9471CABC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21</xdr:row>
          <xdr:rowOff>0</xdr:rowOff>
        </xdr:from>
        <xdr:to>
          <xdr:col>5</xdr:col>
          <xdr:colOff>0</xdr:colOff>
          <xdr:row>22</xdr:row>
          <xdr:rowOff>0</xdr:rowOff>
        </xdr:to>
        <xdr:sp macro="" textlink="">
          <xdr:nvSpPr>
            <xdr:cNvPr id="5142" name="-11" hidden="1">
              <a:extLst>
                <a:ext uri="{63B3BB69-23CF-44E3-9099-C40C66FF867C}">
                  <a14:compatExt spid="_x0000_s5142"/>
                </a:ext>
                <a:ext uri="{FF2B5EF4-FFF2-40B4-BE49-F238E27FC236}">
                  <a16:creationId xmlns:a16="http://schemas.microsoft.com/office/drawing/2014/main" id="{5A9A6FAF-E071-EBA4-339B-6DB2B5A1B58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22</xdr:row>
          <xdr:rowOff>0</xdr:rowOff>
        </xdr:from>
        <xdr:to>
          <xdr:col>4</xdr:col>
          <xdr:colOff>257175</xdr:colOff>
          <xdr:row>23</xdr:row>
          <xdr:rowOff>0</xdr:rowOff>
        </xdr:to>
        <xdr:sp macro="" textlink="">
          <xdr:nvSpPr>
            <xdr:cNvPr id="5143" name="12" hidden="1">
              <a:extLst>
                <a:ext uri="{63B3BB69-23CF-44E3-9099-C40C66FF867C}">
                  <a14:compatExt spid="_x0000_s5143"/>
                </a:ext>
                <a:ext uri="{FF2B5EF4-FFF2-40B4-BE49-F238E27FC236}">
                  <a16:creationId xmlns:a16="http://schemas.microsoft.com/office/drawing/2014/main" id="{C32271BC-FF48-DA29-1882-92B955FA8C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22</xdr:row>
          <xdr:rowOff>0</xdr:rowOff>
        </xdr:from>
        <xdr:to>
          <xdr:col>5</xdr:col>
          <xdr:colOff>0</xdr:colOff>
          <xdr:row>23</xdr:row>
          <xdr:rowOff>0</xdr:rowOff>
        </xdr:to>
        <xdr:sp macro="" textlink="">
          <xdr:nvSpPr>
            <xdr:cNvPr id="5144" name="-12" hidden="1">
              <a:extLst>
                <a:ext uri="{63B3BB69-23CF-44E3-9099-C40C66FF867C}">
                  <a14:compatExt spid="_x0000_s5144"/>
                </a:ext>
                <a:ext uri="{FF2B5EF4-FFF2-40B4-BE49-F238E27FC236}">
                  <a16:creationId xmlns:a16="http://schemas.microsoft.com/office/drawing/2014/main" id="{89E59D8D-A0DF-80B1-7CD2-644D9EF0A7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xdr:row>
          <xdr:rowOff>0</xdr:rowOff>
        </xdr:from>
        <xdr:to>
          <xdr:col>4</xdr:col>
          <xdr:colOff>257175</xdr:colOff>
          <xdr:row>24</xdr:row>
          <xdr:rowOff>0</xdr:rowOff>
        </xdr:to>
        <xdr:sp macro="" textlink="">
          <xdr:nvSpPr>
            <xdr:cNvPr id="5145" name="13" hidden="1">
              <a:extLst>
                <a:ext uri="{63B3BB69-23CF-44E3-9099-C40C66FF867C}">
                  <a14:compatExt spid="_x0000_s5145"/>
                </a:ext>
                <a:ext uri="{FF2B5EF4-FFF2-40B4-BE49-F238E27FC236}">
                  <a16:creationId xmlns:a16="http://schemas.microsoft.com/office/drawing/2014/main" id="{09207782-5045-E0D3-E4D5-6F49A400026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23</xdr:row>
          <xdr:rowOff>0</xdr:rowOff>
        </xdr:from>
        <xdr:to>
          <xdr:col>5</xdr:col>
          <xdr:colOff>0</xdr:colOff>
          <xdr:row>24</xdr:row>
          <xdr:rowOff>0</xdr:rowOff>
        </xdr:to>
        <xdr:sp macro="" textlink="">
          <xdr:nvSpPr>
            <xdr:cNvPr id="5146" name="-13" hidden="1">
              <a:extLst>
                <a:ext uri="{63B3BB69-23CF-44E3-9099-C40C66FF867C}">
                  <a14:compatExt spid="_x0000_s5146"/>
                </a:ext>
                <a:ext uri="{FF2B5EF4-FFF2-40B4-BE49-F238E27FC236}">
                  <a16:creationId xmlns:a16="http://schemas.microsoft.com/office/drawing/2014/main" id="{16A07417-6187-CF5E-44F9-C8670B71990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24</xdr:row>
          <xdr:rowOff>0</xdr:rowOff>
        </xdr:from>
        <xdr:to>
          <xdr:col>4</xdr:col>
          <xdr:colOff>257175</xdr:colOff>
          <xdr:row>25</xdr:row>
          <xdr:rowOff>0</xdr:rowOff>
        </xdr:to>
        <xdr:sp macro="" textlink="">
          <xdr:nvSpPr>
            <xdr:cNvPr id="5147" name="14" hidden="1">
              <a:extLst>
                <a:ext uri="{63B3BB69-23CF-44E3-9099-C40C66FF867C}">
                  <a14:compatExt spid="_x0000_s5147"/>
                </a:ext>
                <a:ext uri="{FF2B5EF4-FFF2-40B4-BE49-F238E27FC236}">
                  <a16:creationId xmlns:a16="http://schemas.microsoft.com/office/drawing/2014/main" id="{9DA50DEF-3F22-05BE-E04C-49972C2CCE3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24</xdr:row>
          <xdr:rowOff>0</xdr:rowOff>
        </xdr:from>
        <xdr:to>
          <xdr:col>5</xdr:col>
          <xdr:colOff>0</xdr:colOff>
          <xdr:row>25</xdr:row>
          <xdr:rowOff>0</xdr:rowOff>
        </xdr:to>
        <xdr:sp macro="" textlink="">
          <xdr:nvSpPr>
            <xdr:cNvPr id="5148" name="-14" hidden="1">
              <a:extLst>
                <a:ext uri="{63B3BB69-23CF-44E3-9099-C40C66FF867C}">
                  <a14:compatExt spid="_x0000_s5148"/>
                </a:ext>
                <a:ext uri="{FF2B5EF4-FFF2-40B4-BE49-F238E27FC236}">
                  <a16:creationId xmlns:a16="http://schemas.microsoft.com/office/drawing/2014/main" id="{50D73887-5C49-BD7B-8F69-5922664DADC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25</xdr:row>
          <xdr:rowOff>0</xdr:rowOff>
        </xdr:from>
        <xdr:to>
          <xdr:col>4</xdr:col>
          <xdr:colOff>257175</xdr:colOff>
          <xdr:row>26</xdr:row>
          <xdr:rowOff>0</xdr:rowOff>
        </xdr:to>
        <xdr:sp macro="" textlink="">
          <xdr:nvSpPr>
            <xdr:cNvPr id="5149" name="15" hidden="1">
              <a:extLst>
                <a:ext uri="{63B3BB69-23CF-44E3-9099-C40C66FF867C}">
                  <a14:compatExt spid="_x0000_s5149"/>
                </a:ext>
                <a:ext uri="{FF2B5EF4-FFF2-40B4-BE49-F238E27FC236}">
                  <a16:creationId xmlns:a16="http://schemas.microsoft.com/office/drawing/2014/main" id="{EF3C82E9-A1E8-EF5D-54C4-C683C0BD17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25</xdr:row>
          <xdr:rowOff>0</xdr:rowOff>
        </xdr:from>
        <xdr:to>
          <xdr:col>5</xdr:col>
          <xdr:colOff>0</xdr:colOff>
          <xdr:row>26</xdr:row>
          <xdr:rowOff>0</xdr:rowOff>
        </xdr:to>
        <xdr:sp macro="" textlink="">
          <xdr:nvSpPr>
            <xdr:cNvPr id="5150" name="-15" hidden="1">
              <a:extLst>
                <a:ext uri="{63B3BB69-23CF-44E3-9099-C40C66FF867C}">
                  <a14:compatExt spid="_x0000_s5150"/>
                </a:ext>
                <a:ext uri="{FF2B5EF4-FFF2-40B4-BE49-F238E27FC236}">
                  <a16:creationId xmlns:a16="http://schemas.microsoft.com/office/drawing/2014/main" id="{044466C6-4168-EC2A-9C6B-CEAAE5ECFB4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26</xdr:row>
          <xdr:rowOff>0</xdr:rowOff>
        </xdr:from>
        <xdr:to>
          <xdr:col>4</xdr:col>
          <xdr:colOff>257175</xdr:colOff>
          <xdr:row>27</xdr:row>
          <xdr:rowOff>0</xdr:rowOff>
        </xdr:to>
        <xdr:sp macro="" textlink="">
          <xdr:nvSpPr>
            <xdr:cNvPr id="5151" name="16" hidden="1">
              <a:extLst>
                <a:ext uri="{63B3BB69-23CF-44E3-9099-C40C66FF867C}">
                  <a14:compatExt spid="_x0000_s5151"/>
                </a:ext>
                <a:ext uri="{FF2B5EF4-FFF2-40B4-BE49-F238E27FC236}">
                  <a16:creationId xmlns:a16="http://schemas.microsoft.com/office/drawing/2014/main" id="{22BC9A17-4251-18DA-D70E-779D271690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26</xdr:row>
          <xdr:rowOff>0</xdr:rowOff>
        </xdr:from>
        <xdr:to>
          <xdr:col>5</xdr:col>
          <xdr:colOff>0</xdr:colOff>
          <xdr:row>27</xdr:row>
          <xdr:rowOff>0</xdr:rowOff>
        </xdr:to>
        <xdr:sp macro="" textlink="">
          <xdr:nvSpPr>
            <xdr:cNvPr id="5152" name="-16" hidden="1">
              <a:extLst>
                <a:ext uri="{63B3BB69-23CF-44E3-9099-C40C66FF867C}">
                  <a14:compatExt spid="_x0000_s5152"/>
                </a:ext>
                <a:ext uri="{FF2B5EF4-FFF2-40B4-BE49-F238E27FC236}">
                  <a16:creationId xmlns:a16="http://schemas.microsoft.com/office/drawing/2014/main" id="{AA95F8F0-599D-B929-64C5-0B511FE2A8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27</xdr:row>
          <xdr:rowOff>0</xdr:rowOff>
        </xdr:from>
        <xdr:to>
          <xdr:col>4</xdr:col>
          <xdr:colOff>257175</xdr:colOff>
          <xdr:row>28</xdr:row>
          <xdr:rowOff>0</xdr:rowOff>
        </xdr:to>
        <xdr:sp macro="" textlink="">
          <xdr:nvSpPr>
            <xdr:cNvPr id="5153" name="17" hidden="1">
              <a:extLst>
                <a:ext uri="{63B3BB69-23CF-44E3-9099-C40C66FF867C}">
                  <a14:compatExt spid="_x0000_s5153"/>
                </a:ext>
                <a:ext uri="{FF2B5EF4-FFF2-40B4-BE49-F238E27FC236}">
                  <a16:creationId xmlns:a16="http://schemas.microsoft.com/office/drawing/2014/main" id="{1A3E459E-9F7A-4250-0F8A-5899ADBB92E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27</xdr:row>
          <xdr:rowOff>0</xdr:rowOff>
        </xdr:from>
        <xdr:to>
          <xdr:col>5</xdr:col>
          <xdr:colOff>0</xdr:colOff>
          <xdr:row>28</xdr:row>
          <xdr:rowOff>0</xdr:rowOff>
        </xdr:to>
        <xdr:sp macro="" textlink="">
          <xdr:nvSpPr>
            <xdr:cNvPr id="5154" name="-17" hidden="1">
              <a:extLst>
                <a:ext uri="{63B3BB69-23CF-44E3-9099-C40C66FF867C}">
                  <a14:compatExt spid="_x0000_s5154"/>
                </a:ext>
                <a:ext uri="{FF2B5EF4-FFF2-40B4-BE49-F238E27FC236}">
                  <a16:creationId xmlns:a16="http://schemas.microsoft.com/office/drawing/2014/main" id="{03873D2C-6EFA-4F0A-3FC7-426B5B09F9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28</xdr:row>
          <xdr:rowOff>0</xdr:rowOff>
        </xdr:from>
        <xdr:to>
          <xdr:col>4</xdr:col>
          <xdr:colOff>257175</xdr:colOff>
          <xdr:row>29</xdr:row>
          <xdr:rowOff>0</xdr:rowOff>
        </xdr:to>
        <xdr:sp macro="" textlink="">
          <xdr:nvSpPr>
            <xdr:cNvPr id="5155" name="18" hidden="1">
              <a:extLst>
                <a:ext uri="{63B3BB69-23CF-44E3-9099-C40C66FF867C}">
                  <a14:compatExt spid="_x0000_s5155"/>
                </a:ext>
                <a:ext uri="{FF2B5EF4-FFF2-40B4-BE49-F238E27FC236}">
                  <a16:creationId xmlns:a16="http://schemas.microsoft.com/office/drawing/2014/main" id="{4F4DC9D1-6EB7-DAE1-B982-F3C2E074AA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28</xdr:row>
          <xdr:rowOff>0</xdr:rowOff>
        </xdr:from>
        <xdr:to>
          <xdr:col>5</xdr:col>
          <xdr:colOff>0</xdr:colOff>
          <xdr:row>29</xdr:row>
          <xdr:rowOff>0</xdr:rowOff>
        </xdr:to>
        <xdr:sp macro="" textlink="">
          <xdr:nvSpPr>
            <xdr:cNvPr id="5156" name="-18" hidden="1">
              <a:extLst>
                <a:ext uri="{63B3BB69-23CF-44E3-9099-C40C66FF867C}">
                  <a14:compatExt spid="_x0000_s5156"/>
                </a:ext>
                <a:ext uri="{FF2B5EF4-FFF2-40B4-BE49-F238E27FC236}">
                  <a16:creationId xmlns:a16="http://schemas.microsoft.com/office/drawing/2014/main" id="{D190C868-A5C1-21F6-CC28-6CBC43A0BFB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29</xdr:row>
          <xdr:rowOff>0</xdr:rowOff>
        </xdr:from>
        <xdr:to>
          <xdr:col>4</xdr:col>
          <xdr:colOff>257175</xdr:colOff>
          <xdr:row>30</xdr:row>
          <xdr:rowOff>0</xdr:rowOff>
        </xdr:to>
        <xdr:sp macro="" textlink="">
          <xdr:nvSpPr>
            <xdr:cNvPr id="5157" name="19" hidden="1">
              <a:extLst>
                <a:ext uri="{63B3BB69-23CF-44E3-9099-C40C66FF867C}">
                  <a14:compatExt spid="_x0000_s5157"/>
                </a:ext>
                <a:ext uri="{FF2B5EF4-FFF2-40B4-BE49-F238E27FC236}">
                  <a16:creationId xmlns:a16="http://schemas.microsoft.com/office/drawing/2014/main" id="{372134B1-7808-8CA3-9483-807BD2C9E8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29</xdr:row>
          <xdr:rowOff>0</xdr:rowOff>
        </xdr:from>
        <xdr:to>
          <xdr:col>5</xdr:col>
          <xdr:colOff>0</xdr:colOff>
          <xdr:row>30</xdr:row>
          <xdr:rowOff>0</xdr:rowOff>
        </xdr:to>
        <xdr:sp macro="" textlink="">
          <xdr:nvSpPr>
            <xdr:cNvPr id="5158" name="-19" hidden="1">
              <a:extLst>
                <a:ext uri="{63B3BB69-23CF-44E3-9099-C40C66FF867C}">
                  <a14:compatExt spid="_x0000_s5158"/>
                </a:ext>
                <a:ext uri="{FF2B5EF4-FFF2-40B4-BE49-F238E27FC236}">
                  <a16:creationId xmlns:a16="http://schemas.microsoft.com/office/drawing/2014/main" id="{789735E4-44AA-175F-A4F8-E316D5BDC47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4</xdr:col>
          <xdr:colOff>257175</xdr:colOff>
          <xdr:row>31</xdr:row>
          <xdr:rowOff>0</xdr:rowOff>
        </xdr:to>
        <xdr:sp macro="" textlink="">
          <xdr:nvSpPr>
            <xdr:cNvPr id="5159" name="20" hidden="1">
              <a:extLst>
                <a:ext uri="{63B3BB69-23CF-44E3-9099-C40C66FF867C}">
                  <a14:compatExt spid="_x0000_s5159"/>
                </a:ext>
                <a:ext uri="{FF2B5EF4-FFF2-40B4-BE49-F238E27FC236}">
                  <a16:creationId xmlns:a16="http://schemas.microsoft.com/office/drawing/2014/main" id="{771B2BA6-5B08-91B8-96DA-5BCF1AEFF7C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30</xdr:row>
          <xdr:rowOff>0</xdr:rowOff>
        </xdr:from>
        <xdr:to>
          <xdr:col>5</xdr:col>
          <xdr:colOff>0</xdr:colOff>
          <xdr:row>31</xdr:row>
          <xdr:rowOff>0</xdr:rowOff>
        </xdr:to>
        <xdr:sp macro="" textlink="">
          <xdr:nvSpPr>
            <xdr:cNvPr id="5160" name="-20" hidden="1">
              <a:extLst>
                <a:ext uri="{63B3BB69-23CF-44E3-9099-C40C66FF867C}">
                  <a14:compatExt spid="_x0000_s5160"/>
                </a:ext>
                <a:ext uri="{FF2B5EF4-FFF2-40B4-BE49-F238E27FC236}">
                  <a16:creationId xmlns:a16="http://schemas.microsoft.com/office/drawing/2014/main" id="{AE536CDC-2266-44A7-E6AB-79467C58C7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&lt;-</a:t>
              </a:r>
            </a:p>
          </xdr:txBody>
        </xdr:sp>
        <xdr:clientData fPrintsWithSheet="0"/>
      </xdr:twoCellAnchor>
    </mc:Choice>
    <mc:Fallback/>
  </mc:AlternateContent>
  <xdr:twoCellAnchor editAs="absolute">
    <xdr:from>
      <xdr:col>0</xdr:col>
      <xdr:colOff>0</xdr:colOff>
      <xdr:row>11</xdr:row>
      <xdr:rowOff>0</xdr:rowOff>
    </xdr:from>
    <xdr:to>
      <xdr:col>3</xdr:col>
      <xdr:colOff>0</xdr:colOff>
      <xdr:row>23</xdr:row>
      <xdr:rowOff>0</xdr:rowOff>
    </xdr:to>
    <mc:AlternateContent xmlns:mc="http://schemas.openxmlformats.org/markup-compatibility/2006">
      <mc:Choice xmlns:sle15="http://schemas.microsoft.com/office/drawing/2012/slicer" Requires="sle15">
        <xdr:graphicFrame macro="">
          <xdr:nvGraphicFramePr>
            <xdr:cNvPr id="2" name="6">
              <a:extLst>
                <a:ext uri="{FF2B5EF4-FFF2-40B4-BE49-F238E27FC236}">
                  <a16:creationId xmlns:a16="http://schemas.microsoft.com/office/drawing/2014/main" id="{27565229-60D5-91EA-639F-713BEC3A05CC}"/>
                </a:ext>
              </a:extLst>
            </xdr:cNvPr>
            <xdr:cNvGraphicFramePr/>
          </xdr:nvGraphicFramePr>
          <xdr:xfrm>
            <a:off x="0" y="0"/>
            <a:ext cx="0" cy="0"/>
          </xdr:xfrm>
          <a:graphic>
            <a:graphicData uri="http://schemas.microsoft.com/office/drawing/2010/slicer">
              <sle:slicer xmlns:sle="http://schemas.microsoft.com/office/drawing/2010/slicer" name="6"/>
            </a:graphicData>
          </a:graphic>
        </xdr:graphicFrame>
      </mc:Choice>
      <mc:Fallback>
        <xdr:sp macro="" textlink="">
          <xdr:nvSpPr>
            <xdr:cNvPr id="0" name=""/>
            <xdr:cNvSpPr>
              <a:spLocks noTextEdit="1"/>
            </xdr:cNvSpPr>
          </xdr:nvSpPr>
          <xdr:spPr>
            <a:xfrm>
              <a:off x="0" y="1371600"/>
              <a:ext cx="1828800" cy="1828800"/>
            </a:xfrm>
            <a:prstGeom prst="rect">
              <a:avLst/>
            </a:prstGeom>
            <a:solidFill>
              <a:prstClr val="white"/>
            </a:solidFill>
            <a:ln w="1">
              <a:solidFill>
                <a:prstClr val="green"/>
              </a:solidFill>
            </a:ln>
          </xdr:spPr>
          <xdr:txBody>
            <a:bodyPr vertOverflow="clip" horzOverflow="clip"/>
            <a:lstStyle/>
            <a:p>
              <a:r>
                <a:rPr lang="de-C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23</xdr:row>
      <xdr:rowOff>0</xdr:rowOff>
    </xdr:from>
    <xdr:to>
      <xdr:col>3</xdr:col>
      <xdr:colOff>0</xdr:colOff>
      <xdr:row>35</xdr:row>
      <xdr:rowOff>0</xdr:rowOff>
    </xdr:to>
    <mc:AlternateContent xmlns:mc="http://schemas.openxmlformats.org/markup-compatibility/2006">
      <mc:Choice xmlns:sle15="http://schemas.microsoft.com/office/drawing/2012/slicer" Requires="sle15">
        <xdr:graphicFrame macro="">
          <xdr:nvGraphicFramePr>
            <xdr:cNvPr id="3" name="15">
              <a:extLst>
                <a:ext uri="{FF2B5EF4-FFF2-40B4-BE49-F238E27FC236}">
                  <a16:creationId xmlns:a16="http://schemas.microsoft.com/office/drawing/2014/main" id="{DB92D913-8584-8815-996A-CF6A8F2680F7}"/>
                </a:ext>
              </a:extLst>
            </xdr:cNvPr>
            <xdr:cNvGraphicFramePr/>
          </xdr:nvGraphicFramePr>
          <xdr:xfrm>
            <a:off x="0" y="0"/>
            <a:ext cx="0" cy="0"/>
          </xdr:xfrm>
          <a:graphic>
            <a:graphicData uri="http://schemas.microsoft.com/office/drawing/2010/slicer">
              <sle:slicer xmlns:sle="http://schemas.microsoft.com/office/drawing/2010/slicer" name="15"/>
            </a:graphicData>
          </a:graphic>
        </xdr:graphicFrame>
      </mc:Choice>
      <mc:Fallback>
        <xdr:sp macro="" textlink="">
          <xdr:nvSpPr>
            <xdr:cNvPr id="0" name=""/>
            <xdr:cNvSpPr>
              <a:spLocks noTextEdit="1"/>
            </xdr:cNvSpPr>
          </xdr:nvSpPr>
          <xdr:spPr>
            <a:xfrm>
              <a:off x="0" y="3200400"/>
              <a:ext cx="1828800" cy="1828800"/>
            </a:xfrm>
            <a:prstGeom prst="rect">
              <a:avLst/>
            </a:prstGeom>
            <a:solidFill>
              <a:prstClr val="white"/>
            </a:solidFill>
            <a:ln w="1">
              <a:solidFill>
                <a:prstClr val="green"/>
              </a:solidFill>
            </a:ln>
          </xdr:spPr>
          <xdr:txBody>
            <a:bodyPr vertOverflow="clip" horzOverflow="clip"/>
            <a:lstStyle/>
            <a:p>
              <a:r>
                <a:rPr lang="de-C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35</xdr:row>
      <xdr:rowOff>0</xdr:rowOff>
    </xdr:from>
    <xdr:to>
      <xdr:col>3</xdr:col>
      <xdr:colOff>0</xdr:colOff>
      <xdr:row>47</xdr:row>
      <xdr:rowOff>0</xdr:rowOff>
    </xdr:to>
    <mc:AlternateContent xmlns:mc="http://schemas.openxmlformats.org/markup-compatibility/2006">
      <mc:Choice xmlns:sle15="http://schemas.microsoft.com/office/drawing/2012/slicer" Requires="sle15">
        <xdr:graphicFrame macro="">
          <xdr:nvGraphicFramePr>
            <xdr:cNvPr id="4" name="16">
              <a:extLst>
                <a:ext uri="{FF2B5EF4-FFF2-40B4-BE49-F238E27FC236}">
                  <a16:creationId xmlns:a16="http://schemas.microsoft.com/office/drawing/2014/main" id="{AC370214-20F5-5C12-F41E-1E442A34A134}"/>
                </a:ext>
              </a:extLst>
            </xdr:cNvPr>
            <xdr:cNvGraphicFramePr/>
          </xdr:nvGraphicFramePr>
          <xdr:xfrm>
            <a:off x="0" y="0"/>
            <a:ext cx="0" cy="0"/>
          </xdr:xfrm>
          <a:graphic>
            <a:graphicData uri="http://schemas.microsoft.com/office/drawing/2010/slicer">
              <sle:slicer xmlns:sle="http://schemas.microsoft.com/office/drawing/2010/slicer" name="16"/>
            </a:graphicData>
          </a:graphic>
        </xdr:graphicFrame>
      </mc:Choice>
      <mc:Fallback>
        <xdr:sp macro="" textlink="">
          <xdr:nvSpPr>
            <xdr:cNvPr id="0" name=""/>
            <xdr:cNvSpPr>
              <a:spLocks noTextEdit="1"/>
            </xdr:cNvSpPr>
          </xdr:nvSpPr>
          <xdr:spPr>
            <a:xfrm>
              <a:off x="0" y="5029200"/>
              <a:ext cx="1828800" cy="1828800"/>
            </a:xfrm>
            <a:prstGeom prst="rect">
              <a:avLst/>
            </a:prstGeom>
            <a:solidFill>
              <a:prstClr val="white"/>
            </a:solidFill>
            <a:ln w="1">
              <a:solidFill>
                <a:prstClr val="green"/>
              </a:solidFill>
            </a:ln>
          </xdr:spPr>
          <xdr:txBody>
            <a:bodyPr vertOverflow="clip" horzOverflow="clip"/>
            <a:lstStyle/>
            <a:p>
              <a:r>
                <a:rPr lang="de-C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16</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FA868B1B-06EC-77DC-6E4F-855A696FE6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Daten importieren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14</xdr:row>
          <xdr:rowOff>0</xdr:rowOff>
        </xdr:from>
        <xdr:to>
          <xdr:col>8</xdr:col>
          <xdr:colOff>0</xdr:colOff>
          <xdr:row>16</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697AB2F1-18CE-9504-82D2-249508459EF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Daten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B76A771B-5C65-2BEE-5921-95D272B6F2D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Gewerke anpassen</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6" xr10:uid="{52D08E4C-9231-422F-A23B-A48AEB55A023}" sourceName="6">
  <extLst>
    <x:ext xmlns:x15="http://schemas.microsoft.com/office/spreadsheetml/2010/11/main" uri="{2F2917AC-EB37-4324-AD4E-5DD8C200BD13}">
      <x15:tableSlicerCache tableId="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5" xr10:uid="{F2FA41EB-199F-44D3-B6E1-431A0A8D6CF1}" sourceName="15">
  <extLst>
    <x:ext xmlns:x15="http://schemas.microsoft.com/office/spreadsheetml/2010/11/main" uri="{2F2917AC-EB37-4324-AD4E-5DD8C200BD13}">
      <x15:tableSlicerCache tableId="1" column="1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6" xr10:uid="{917BAE99-21FB-4049-80D3-10752D869B82}" sourceName="16">
  <extLst>
    <x:ext xmlns:x15="http://schemas.microsoft.com/office/spreadsheetml/2010/11/main" uri="{2F2917AC-EB37-4324-AD4E-5DD8C200BD13}">
      <x15:tableSlicerCache tableId="1"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6" xr10:uid="{46C25CD0-AA36-4AEE-A251-3D7F1AFE7B1E}" cache="Slicer_6" caption="Hersteller" style="SlicerStyleLight6" rowHeight="241300"/>
  <slicer name="15" xr10:uid="{01B7EFD9-DAFC-4532-BAF3-AC539076A8A2}" cache="Slicer_15" caption="Hauptart" style="SlicerStyleLight6" rowHeight="241300"/>
  <slicer name="16" xr10:uid="{D7688A14-1098-4DC1-90A9-F7A1B1B97481}" cache="Slicer_16" caption="Unterart"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4C60AD-41FF-4B47-A538-D8A2D3973A40}" name="datenbank_geraete" displayName="datenbank_geraete" ref="D11:X31" totalsRowShown="0" headerRowDxfId="1" dataDxfId="0">
  <autoFilter ref="D11:X31" xr:uid="{154C60AD-41FF-4B47-A538-D8A2D3973A40}"/>
  <tableColumns count="21">
    <tableColumn id="1" xr3:uid="{E7C31045-2AE0-4ED4-93E2-226D9BFD9480}" name="-1" dataDxfId="22"/>
    <tableColumn id="2" xr3:uid="{91D4F6C8-3CB8-4319-9433-67AE06F9714F}" name="0" dataDxfId="21"/>
    <tableColumn id="3" xr3:uid="{F41C49DA-AB20-4683-B039-A9F4184BEF8F}" name="3" dataDxfId="20"/>
    <tableColumn id="4" xr3:uid="{1FD00FA9-1F4B-4E53-810E-2BB061E00E1C}" name="5" dataDxfId="19"/>
    <tableColumn id="5" xr3:uid="{A4CDB287-66CE-401B-9DFF-74D936683ADC}" name="6" dataDxfId="18"/>
    <tableColumn id="6" xr3:uid="{B78A98CB-B137-4114-846F-4561C227DC27}" name="7" dataDxfId="17"/>
    <tableColumn id="7" xr3:uid="{CC786182-22E0-4A85-94EF-30AE444E3437}" name="8" dataDxfId="16"/>
    <tableColumn id="8" xr3:uid="{DB3F6104-4BA9-47A7-BCFB-1F7218461CE9}" name="10" dataDxfId="15"/>
    <tableColumn id="9" xr3:uid="{28AB0B38-F17B-428A-A81E-8271F592EC1C}" name="11" dataDxfId="14"/>
    <tableColumn id="10" xr3:uid="{A45D6A05-AB3B-47FC-AC5D-A49369C10F84}" name="13" dataDxfId="13"/>
    <tableColumn id="11" xr3:uid="{DFCB8660-BBE6-4DE1-BDAC-314148C7AEF5}" name="15" dataDxfId="12"/>
    <tableColumn id="12" xr3:uid="{1DC607BA-0694-46F6-95EB-DDF906852B85}" name="16" dataDxfId="11"/>
    <tableColumn id="13" xr3:uid="{F17B300B-FE3D-4147-A352-A51B99698ABB}" name="plus_19" dataDxfId="10"/>
    <tableColumn id="14" xr3:uid="{E87BF898-9640-47E4-BCE5-3E9E9A595298}" name="plus_20" dataDxfId="9"/>
    <tableColumn id="15" xr3:uid="{AD742268-268D-45D0-A09F-D50BD77EEBCA}" name="plus_21" dataDxfId="8"/>
    <tableColumn id="16" xr3:uid="{59BEB8D6-3DBF-4BB9-99AA-A4D0403660B0}" name="plus_22" dataDxfId="7"/>
    <tableColumn id="17" xr3:uid="{0867ADAC-71B4-4229-961B-71C8D5ECB963}" name="plus_23" dataDxfId="6"/>
    <tableColumn id="18" xr3:uid="{E2E5FD5D-A1C2-4629-A51A-210DD19F0713}" name="plus_24" dataDxfId="5"/>
    <tableColumn id="19" xr3:uid="{AE24A28D-D075-41DB-8484-E285CB29DDF8}" name="plus_25" dataDxfId="4"/>
    <tableColumn id="20" xr3:uid="{67E396C5-9A2D-4F14-994E-E078BC1C0210}" name="plus_26" dataDxfId="3"/>
    <tableColumn id="21" xr3:uid="{081022F0-11E6-4BFC-AF0B-B423139AD1AF}" name="plus_27" dataDxfId="2"/>
  </tableColumns>
  <tableStyleInfo name="TableStyleLight2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2.vml"/><Relationship Id="rId16" Type="http://schemas.openxmlformats.org/officeDocument/2006/relationships/ctrlProp" Target="../ctrlProps/ctrlProp21.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ctrlProp" Target="../ctrlProps/ctrlProp22.x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5.xml"/><Relationship Id="rId1" Type="http://schemas.openxmlformats.org/officeDocument/2006/relationships/drawing" Target="../drawings/drawing4.xml"/><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ctrlProp" Target="../ctrlProps/ctrlProp36.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vmlDrawing" Target="../drawings/vmlDrawing4.vml"/><Relationship Id="rId16" Type="http://schemas.openxmlformats.org/officeDocument/2006/relationships/ctrlProp" Target="../ctrlProps/ctrlProp49.xml"/><Relationship Id="rId1" Type="http://schemas.openxmlformats.org/officeDocument/2006/relationships/drawing" Target="../drawings/drawing5.x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60.xml"/><Relationship Id="rId18" Type="http://schemas.openxmlformats.org/officeDocument/2006/relationships/ctrlProp" Target="../ctrlProps/ctrlProp65.xml"/><Relationship Id="rId26" Type="http://schemas.openxmlformats.org/officeDocument/2006/relationships/ctrlProp" Target="../ctrlProps/ctrlProp73.xml"/><Relationship Id="rId39" Type="http://schemas.openxmlformats.org/officeDocument/2006/relationships/ctrlProp" Target="../ctrlProps/ctrlProp86.xml"/><Relationship Id="rId21" Type="http://schemas.openxmlformats.org/officeDocument/2006/relationships/ctrlProp" Target="../ctrlProps/ctrlProp68.xml"/><Relationship Id="rId34" Type="http://schemas.openxmlformats.org/officeDocument/2006/relationships/ctrlProp" Target="../ctrlProps/ctrlProp81.xml"/><Relationship Id="rId42" Type="http://schemas.openxmlformats.org/officeDocument/2006/relationships/ctrlProp" Target="../ctrlProps/ctrlProp89.xml"/><Relationship Id="rId7" Type="http://schemas.openxmlformats.org/officeDocument/2006/relationships/ctrlProp" Target="../ctrlProps/ctrlProp54.xml"/><Relationship Id="rId2" Type="http://schemas.openxmlformats.org/officeDocument/2006/relationships/vmlDrawing" Target="../drawings/vmlDrawing5.vml"/><Relationship Id="rId16" Type="http://schemas.openxmlformats.org/officeDocument/2006/relationships/ctrlProp" Target="../ctrlProps/ctrlProp63.xml"/><Relationship Id="rId20" Type="http://schemas.openxmlformats.org/officeDocument/2006/relationships/ctrlProp" Target="../ctrlProps/ctrlProp67.xml"/><Relationship Id="rId29" Type="http://schemas.openxmlformats.org/officeDocument/2006/relationships/ctrlProp" Target="../ctrlProps/ctrlProp76.xml"/><Relationship Id="rId41" Type="http://schemas.openxmlformats.org/officeDocument/2006/relationships/ctrlProp" Target="../ctrlProps/ctrlProp88.xml"/><Relationship Id="rId1" Type="http://schemas.openxmlformats.org/officeDocument/2006/relationships/drawing" Target="../drawings/drawing6.xml"/><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32" Type="http://schemas.openxmlformats.org/officeDocument/2006/relationships/ctrlProp" Target="../ctrlProps/ctrlProp79.xml"/><Relationship Id="rId37" Type="http://schemas.openxmlformats.org/officeDocument/2006/relationships/ctrlProp" Target="../ctrlProps/ctrlProp84.xml"/><Relationship Id="rId40" Type="http://schemas.openxmlformats.org/officeDocument/2006/relationships/ctrlProp" Target="../ctrlProps/ctrlProp87.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28" Type="http://schemas.openxmlformats.org/officeDocument/2006/relationships/ctrlProp" Target="../ctrlProps/ctrlProp75.xml"/><Relationship Id="rId36" Type="http://schemas.openxmlformats.org/officeDocument/2006/relationships/ctrlProp" Target="../ctrlProps/ctrlProp83.xml"/><Relationship Id="rId10" Type="http://schemas.openxmlformats.org/officeDocument/2006/relationships/ctrlProp" Target="../ctrlProps/ctrlProp57.xml"/><Relationship Id="rId19" Type="http://schemas.openxmlformats.org/officeDocument/2006/relationships/ctrlProp" Target="../ctrlProps/ctrlProp66.xml"/><Relationship Id="rId31" Type="http://schemas.openxmlformats.org/officeDocument/2006/relationships/ctrlProp" Target="../ctrlProps/ctrlProp78.xml"/><Relationship Id="rId44" Type="http://schemas.microsoft.com/office/2007/relationships/slicer" Target="../slicers/slicer1.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 Id="rId27" Type="http://schemas.openxmlformats.org/officeDocument/2006/relationships/ctrlProp" Target="../ctrlProps/ctrlProp74.xml"/><Relationship Id="rId30" Type="http://schemas.openxmlformats.org/officeDocument/2006/relationships/ctrlProp" Target="../ctrlProps/ctrlProp77.xml"/><Relationship Id="rId35" Type="http://schemas.openxmlformats.org/officeDocument/2006/relationships/ctrlProp" Target="../ctrlProps/ctrlProp82.xml"/><Relationship Id="rId43" Type="http://schemas.openxmlformats.org/officeDocument/2006/relationships/table" Target="../tables/table1.xml"/><Relationship Id="rId8" Type="http://schemas.openxmlformats.org/officeDocument/2006/relationships/ctrlProp" Target="../ctrlProps/ctrlProp55.xml"/><Relationship Id="rId3" Type="http://schemas.openxmlformats.org/officeDocument/2006/relationships/ctrlProp" Target="../ctrlProps/ctrlProp50.x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33" Type="http://schemas.openxmlformats.org/officeDocument/2006/relationships/ctrlProp" Target="../ctrlProps/ctrlProp80.xml"/><Relationship Id="rId38" Type="http://schemas.openxmlformats.org/officeDocument/2006/relationships/ctrlProp" Target="../ctrlProps/ctrlProp8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337A2-F272-4783-894E-E34D1AAE66A4}">
  <sheetPr codeName="Sheet1"/>
  <dimension ref="B1:H33"/>
  <sheetViews>
    <sheetView topLeftCell="B1" zoomScaleNormal="100" workbookViewId="0">
      <selection activeCell="B2" sqref="B2"/>
    </sheetView>
  </sheetViews>
  <sheetFormatPr defaultColWidth="10.85546875" defaultRowHeight="15"/>
  <cols>
    <col min="1" max="1" width="2.140625" style="4" customWidth="1"/>
    <col min="2" max="2" width="99.28515625" style="4" customWidth="1"/>
    <col min="3" max="16384" width="10.85546875" style="4"/>
  </cols>
  <sheetData>
    <row r="1" spans="2:8" ht="2.1" customHeight="1"/>
    <row r="2" spans="2:8" ht="23.25">
      <c r="B2" s="5" t="s">
        <v>1312</v>
      </c>
    </row>
    <row r="3" spans="2:8">
      <c r="B3" s="4" t="s">
        <v>1313</v>
      </c>
    </row>
    <row r="5" spans="2:8">
      <c r="B5" s="6"/>
      <c r="C5" s="6"/>
      <c r="D5" s="6"/>
      <c r="E5" s="6"/>
      <c r="F5" s="6"/>
      <c r="G5" s="6"/>
      <c r="H5" s="6"/>
    </row>
    <row r="6" spans="2:8">
      <c r="B6" s="6" t="s">
        <v>1314</v>
      </c>
      <c r="C6" s="6"/>
      <c r="D6" s="6"/>
      <c r="E6" s="6"/>
      <c r="F6" s="6"/>
      <c r="G6" s="6"/>
      <c r="H6" s="6"/>
    </row>
    <row r="7" spans="2:8" ht="60">
      <c r="B7" s="7" t="s">
        <v>1315</v>
      </c>
      <c r="C7" s="6"/>
      <c r="D7" s="6"/>
      <c r="E7" s="6"/>
      <c r="F7" s="6"/>
      <c r="G7" s="6"/>
      <c r="H7" s="6"/>
    </row>
    <row r="8" spans="2:8">
      <c r="B8" s="6"/>
      <c r="C8" s="6"/>
      <c r="D8" s="6"/>
      <c r="E8" s="6"/>
      <c r="F8" s="6"/>
      <c r="G8" s="6"/>
      <c r="H8" s="6"/>
    </row>
    <row r="9" spans="2:8">
      <c r="B9" s="6" t="s">
        <v>1316</v>
      </c>
    </row>
    <row r="10" spans="2:8" ht="30">
      <c r="B10" s="7" t="s">
        <v>1317</v>
      </c>
    </row>
    <row r="11" spans="2:8" ht="45">
      <c r="B11" s="7" t="s">
        <v>1318</v>
      </c>
    </row>
    <row r="12" spans="2:8" ht="60">
      <c r="B12" s="7" t="s">
        <v>1319</v>
      </c>
    </row>
    <row r="13" spans="2:8" ht="45">
      <c r="B13" s="7" t="s">
        <v>1320</v>
      </c>
    </row>
    <row r="15" spans="2:8">
      <c r="B15" s="6" t="s">
        <v>1321</v>
      </c>
    </row>
    <row r="16" spans="2:8" ht="30">
      <c r="B16" s="7" t="s">
        <v>1322</v>
      </c>
    </row>
    <row r="17" spans="2:3" ht="30">
      <c r="B17" s="7" t="s">
        <v>1323</v>
      </c>
    </row>
    <row r="18" spans="2:3">
      <c r="B18" s="7" t="s">
        <v>1324</v>
      </c>
    </row>
    <row r="19" spans="2:3" ht="45">
      <c r="B19" s="7" t="s">
        <v>1325</v>
      </c>
      <c r="C19" s="7"/>
    </row>
    <row r="20" spans="2:3" ht="75">
      <c r="B20" s="7" t="s">
        <v>1326</v>
      </c>
      <c r="C20" s="7"/>
    </row>
    <row r="21" spans="2:3" ht="105">
      <c r="B21" s="7" t="s">
        <v>1327</v>
      </c>
    </row>
    <row r="22" spans="2:3" ht="105">
      <c r="B22" s="7" t="s">
        <v>1328</v>
      </c>
    </row>
    <row r="23" spans="2:3" ht="45">
      <c r="B23" s="7" t="s">
        <v>1329</v>
      </c>
    </row>
    <row r="24" spans="2:3" ht="101.25">
      <c r="B24" s="7" t="s">
        <v>1330</v>
      </c>
    </row>
    <row r="25" spans="2:3" ht="30">
      <c r="B25" s="7" t="s">
        <v>1331</v>
      </c>
    </row>
    <row r="27" spans="2:3">
      <c r="B27" s="6" t="s">
        <v>1332</v>
      </c>
    </row>
    <row r="28" spans="2:3" ht="45">
      <c r="B28" s="7" t="s">
        <v>1333</v>
      </c>
    </row>
    <row r="29" spans="2:3" ht="123.75">
      <c r="B29" s="7" t="s">
        <v>1334</v>
      </c>
    </row>
    <row r="30" spans="2:3" ht="67.5">
      <c r="B30" s="7" t="s">
        <v>1335</v>
      </c>
    </row>
    <row r="31" spans="2:3">
      <c r="B31" s="7"/>
    </row>
    <row r="32" spans="2:3">
      <c r="B32" s="6" t="s">
        <v>1336</v>
      </c>
    </row>
    <row r="33" spans="2:2" ht="270">
      <c r="B33" s="7" t="s">
        <v>1337</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78F72-571C-487B-AAE6-571D111F63ED}">
  <sheetPr codeName="Sheet8"/>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E9BBB-9ACA-4C81-B9BE-161E7230B44F}">
  <sheetPr codeName="Sheet9"/>
  <dimension ref="A1"/>
  <sheetViews>
    <sheetView workbookViewId="0"/>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8CFAC-D116-4224-A967-26D551A30F38}">
  <sheetPr codeName="Sheet10"/>
  <dimension ref="A1"/>
  <sheetViews>
    <sheetView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6545-5534-4E84-A47D-512B4512F9BD}">
  <sheetPr codeName="Sheet11"/>
  <dimension ref="A1:B7"/>
  <sheetViews>
    <sheetView workbookViewId="0">
      <selection sqref="A1:B1"/>
    </sheetView>
  </sheetViews>
  <sheetFormatPr defaultRowHeight="15"/>
  <cols>
    <col min="1" max="1" width="37" bestFit="1" customWidth="1"/>
    <col min="2" max="2" width="16.140625" bestFit="1" customWidth="1"/>
  </cols>
  <sheetData>
    <row r="1" spans="1:2" ht="23.25">
      <c r="A1" s="48" t="s">
        <v>652</v>
      </c>
      <c r="B1" s="48"/>
    </row>
    <row r="2" spans="1:2">
      <c r="A2" s="49" t="s">
        <v>1241</v>
      </c>
    </row>
    <row r="3" spans="1:2">
      <c r="A3" t="s">
        <v>1197</v>
      </c>
      <c r="B3" s="50" t="s">
        <v>1434</v>
      </c>
    </row>
    <row r="4" spans="1:2">
      <c r="A4" t="s">
        <v>1204</v>
      </c>
      <c r="B4" s="50" t="s">
        <v>1229</v>
      </c>
    </row>
    <row r="5" spans="1:2">
      <c r="A5" t="s">
        <v>1211</v>
      </c>
      <c r="B5" s="50" t="s">
        <v>1233</v>
      </c>
    </row>
    <row r="6" spans="1:2">
      <c r="A6" t="s">
        <v>1218</v>
      </c>
      <c r="B6" s="50" t="s">
        <v>1234</v>
      </c>
    </row>
    <row r="7" spans="1:2">
      <c r="A7" t="s">
        <v>1225</v>
      </c>
      <c r="B7" s="50" t="s">
        <v>775</v>
      </c>
    </row>
  </sheetData>
  <mergeCells count="1">
    <mergeCell ref="A1:B1"/>
  </mergeCells>
  <dataValidations count="5">
    <dataValidation type="list" allowBlank="1" showInputMessage="1" showErrorMessage="1" sqref="B3" xr:uid="{8ABCAA28-56CC-4EF8-8C15-8868BED0A4FB}">
      <formula1>"kWh/m²,kWh,W,W/m²"</formula1>
    </dataValidation>
    <dataValidation type="list" allowBlank="1" showInputMessage="1" showErrorMessage="1" sqref="B4" xr:uid="{357D4532-FD2D-4B99-B988-E01DD377E676}">
      <formula1>"ohne Hauptarten,mit Hauptarten,mit Haupt- und Unterarten"</formula1>
    </dataValidation>
    <dataValidation type="list" allowBlank="1" showInputMessage="1" showErrorMessage="1" sqref="B5" xr:uid="{2DC07C10-F665-4A23-98E7-2227BD42AF6B}">
      <formula1>"GT,nur GA,nur nGA,GA/nGA"</formula1>
    </dataValidation>
    <dataValidation type="list" allowBlank="1" showInputMessage="1" showErrorMessage="1" sqref="B6" xr:uid="{E9E76224-8446-45D5-981A-9608829DDE93}">
      <formula1>"ohne Gewerke,mit Gewerken"</formula1>
    </dataValidation>
    <dataValidation type="list" allowBlank="1" showInputMessage="1" showErrorMessage="1" sqref="B7" xr:uid="{3504CC1F-B12A-4405-A97C-0903A0E1E2F6}">
      <formula1>"Total,ohne Speisungen,nur Speisungen,mit Speisungen"</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3129D-AAF6-413A-9A5A-7B23B28E3136}">
  <sheetPr codeName="Sheet12"/>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81E0B-7EBC-44E0-A956-D8DA89FB1E8B}">
  <sheetPr codeName="Sheet13"/>
  <dimension ref="A1"/>
  <sheetViews>
    <sheetView workbookViewId="0"/>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38D44-51BB-47A3-8458-17AA654FCD22}">
  <sheetPr codeName="Sheet14"/>
  <dimension ref="A1"/>
  <sheetViews>
    <sheetView workbookViewId="0"/>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38D5C-111F-461F-B3F6-F3FFDAEAB7CA}">
  <sheetPr codeName="Sheet15"/>
  <dimension ref="A1"/>
  <sheetViews>
    <sheetView workbookViewId="0"/>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9828A-5941-4DFF-80BD-9380A50B1B65}">
  <sheetPr codeName="Sheet16"/>
  <dimension ref="A1"/>
  <sheetViews>
    <sheetView workbookViewId="0"/>
  </sheetViews>
  <sheetFormatPr defaultRowHeight="1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DB3A5-6321-4879-9285-49DC866A9219}">
  <sheetPr codeName="Sheet7"/>
  <dimension ref="A1"/>
  <sheetViews>
    <sheetView workbookViewId="0"/>
  </sheetViews>
  <sheetFormatPr defaultRowHeight="1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1">
              <controlPr defaultSize="0" autoFill="0" autoLine="0" autoPict="0" macro="[0]!Baum_Dynamisch_Anpassen">
                <anchor moveWithCells="1">
                  <from>
                    <xdr:col>0</xdr:col>
                    <xdr:colOff>0</xdr:colOff>
                    <xdr:row>2</xdr:row>
                    <xdr:rowOff>0</xdr:rowOff>
                  </from>
                  <to>
                    <xdr:col>4</xdr:col>
                    <xdr:colOff>95250</xdr:colOff>
                    <xdr:row>3</xdr:row>
                    <xdr:rowOff>57150</xdr:rowOff>
                  </to>
                </anchor>
              </controlPr>
            </control>
          </mc:Choice>
        </mc:AlternateContent>
        <mc:AlternateContent xmlns:mc="http://schemas.openxmlformats.org/markup-compatibility/2006">
          <mc:Choice Requires="x14">
            <control shapeId="6146" r:id="rId4" name="2">
              <controlPr defaultSize="0" autoFill="0" autoLine="0" autoPict="0" macro="[0]!Baum_Dynamisch_Anpassen">
                <anchor moveWithCells="1">
                  <from>
                    <xdr:col>0</xdr:col>
                    <xdr:colOff>0</xdr:colOff>
                    <xdr:row>3</xdr:row>
                    <xdr:rowOff>57150</xdr:rowOff>
                  </from>
                  <to>
                    <xdr:col>4</xdr:col>
                    <xdr:colOff>95250</xdr:colOff>
                    <xdr:row>4</xdr:row>
                    <xdr:rowOff>123825</xdr:rowOff>
                  </to>
                </anchor>
              </controlPr>
            </control>
          </mc:Choice>
        </mc:AlternateContent>
        <mc:AlternateContent xmlns:mc="http://schemas.openxmlformats.org/markup-compatibility/2006">
          <mc:Choice Requires="x14">
            <control shapeId="6147" r:id="rId5" name="3">
              <controlPr defaultSize="0" autoFill="0" autoLine="0" autoPict="0" macro="[0]!Baum_Dynamisch_Anpassen">
                <anchor moveWithCells="1">
                  <from>
                    <xdr:col>0</xdr:col>
                    <xdr:colOff>0</xdr:colOff>
                    <xdr:row>4</xdr:row>
                    <xdr:rowOff>123825</xdr:rowOff>
                  </from>
                  <to>
                    <xdr:col>4</xdr:col>
                    <xdr:colOff>95250</xdr:colOff>
                    <xdr:row>6</xdr:row>
                    <xdr:rowOff>0</xdr:rowOff>
                  </to>
                </anchor>
              </controlPr>
            </control>
          </mc:Choice>
        </mc:AlternateContent>
        <mc:AlternateContent xmlns:mc="http://schemas.openxmlformats.org/markup-compatibility/2006">
          <mc:Choice Requires="x14">
            <control shapeId="6148" r:id="rId6" name="4">
              <controlPr defaultSize="0" autoFill="0" autoLine="0" autoPict="0" macro="[0]!Baum_Dynamisch_Anpassen">
                <anchor moveWithCells="1">
                  <from>
                    <xdr:col>0</xdr:col>
                    <xdr:colOff>0</xdr:colOff>
                    <xdr:row>6</xdr:row>
                    <xdr:rowOff>0</xdr:rowOff>
                  </from>
                  <to>
                    <xdr:col>4</xdr:col>
                    <xdr:colOff>95250</xdr:colOff>
                    <xdr:row>7</xdr:row>
                    <xdr:rowOff>57150</xdr:rowOff>
                  </to>
                </anchor>
              </controlPr>
            </control>
          </mc:Choice>
        </mc:AlternateContent>
        <mc:AlternateContent xmlns:mc="http://schemas.openxmlformats.org/markup-compatibility/2006">
          <mc:Choice Requires="x14">
            <control shapeId="6149" r:id="rId7" name="5">
              <controlPr defaultSize="0" autoFill="0" autoLine="0" autoPict="0" macro="[0]!Baum_Dynamisch_Anpassen">
                <anchor moveWithCells="1">
                  <from>
                    <xdr:col>0</xdr:col>
                    <xdr:colOff>0</xdr:colOff>
                    <xdr:row>7</xdr:row>
                    <xdr:rowOff>57150</xdr:rowOff>
                  </from>
                  <to>
                    <xdr:col>4</xdr:col>
                    <xdr:colOff>95250</xdr:colOff>
                    <xdr:row>8</xdr:row>
                    <xdr:rowOff>123825</xdr:rowOff>
                  </to>
                </anchor>
              </controlPr>
            </control>
          </mc:Choice>
        </mc:AlternateContent>
        <mc:AlternateContent xmlns:mc="http://schemas.openxmlformats.org/markup-compatibility/2006">
          <mc:Choice Requires="x14">
            <control shapeId="6150" r:id="rId8" name="6">
              <controlPr defaultSize="0" autoFill="0" autoLine="0" autoPict="0" macro="[0]!Baum_Dynamisch_Anpassen">
                <anchor moveWithCells="1">
                  <from>
                    <xdr:col>0</xdr:col>
                    <xdr:colOff>0</xdr:colOff>
                    <xdr:row>8</xdr:row>
                    <xdr:rowOff>123825</xdr:rowOff>
                  </from>
                  <to>
                    <xdr:col>4</xdr:col>
                    <xdr:colOff>95250</xdr:colOff>
                    <xdr:row>10</xdr:row>
                    <xdr:rowOff>0</xdr:rowOff>
                  </to>
                </anchor>
              </controlPr>
            </control>
          </mc:Choice>
        </mc:AlternateContent>
        <mc:AlternateContent xmlns:mc="http://schemas.openxmlformats.org/markup-compatibility/2006">
          <mc:Choice Requires="x14">
            <control shapeId="6151" r:id="rId9" name="7">
              <controlPr defaultSize="0" autoFill="0" autoLine="0" autoPict="0" macro="[0]!Baum_Dynamisch_Anpassen">
                <anchor moveWithCells="1">
                  <from>
                    <xdr:col>0</xdr:col>
                    <xdr:colOff>0</xdr:colOff>
                    <xdr:row>10</xdr:row>
                    <xdr:rowOff>0</xdr:rowOff>
                  </from>
                  <to>
                    <xdr:col>4</xdr:col>
                    <xdr:colOff>95250</xdr:colOff>
                    <xdr:row>11</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1FD0E-1BE0-4729-BC78-6760CA9515B2}">
  <sheetPr codeName="Sheet17"/>
  <dimension ref="A1:AG15"/>
  <sheetViews>
    <sheetView topLeftCell="A10" workbookViewId="0">
      <pane xSplit="3" ySplit="5" topLeftCell="D15" activePane="bottomRight" state="frozen"/>
      <selection activeCell="A10" sqref="A10"/>
      <selection pane="topRight" activeCell="D10" sqref="D10"/>
      <selection pane="bottomLeft" activeCell="A15" sqref="A15"/>
      <selection pane="bottomRight" activeCell="C15" sqref="C15"/>
    </sheetView>
  </sheetViews>
  <sheetFormatPr defaultRowHeight="12"/>
  <cols>
    <col min="1" max="1" width="19.7109375" style="8" customWidth="1"/>
    <col min="2" max="2" width="5.28515625" style="8" customWidth="1"/>
    <col min="3" max="3" width="14.7109375" style="8" customWidth="1"/>
    <col min="4" max="4" width="6.28515625" style="8" customWidth="1"/>
    <col min="5" max="5" width="20.7109375" style="8" customWidth="1"/>
    <col min="6" max="6" width="8.85546875" style="8" customWidth="1"/>
    <col min="7" max="7" width="10.85546875" style="8" customWidth="1"/>
    <col min="8" max="8" width="6.5703125" style="8" customWidth="1"/>
    <col min="9" max="9" width="12" style="8" customWidth="1"/>
    <col min="10" max="10" width="18.7109375" style="8" customWidth="1"/>
    <col min="11" max="11" width="12.85546875" style="8" customWidth="1"/>
    <col min="12" max="14" width="12.7109375" style="8" customWidth="1"/>
    <col min="15" max="16" width="15.7109375" style="8" customWidth="1"/>
    <col min="17" max="17" width="10.42578125" style="51" customWidth="1"/>
    <col min="18" max="22" width="7.28515625" style="51" customWidth="1"/>
    <col min="23" max="23" width="9.28515625" style="51" customWidth="1"/>
    <col min="24" max="24" width="9.7109375" style="59" customWidth="1"/>
    <col min="25" max="25" width="9.7109375" style="64" customWidth="1"/>
    <col min="26" max="29" width="10.28515625" style="69" customWidth="1"/>
    <col min="30" max="30" width="9.140625" style="59"/>
    <col min="31" max="31" width="9.140625" style="74"/>
    <col min="32" max="32" width="9.140625" style="78"/>
    <col min="33" max="33" width="6.28515625" style="82" customWidth="1"/>
    <col min="34" max="16384" width="9.140625" style="8"/>
  </cols>
  <sheetData>
    <row r="1" spans="1:33" hidden="1"/>
    <row r="2" spans="1:33" hidden="1">
      <c r="E2" s="9"/>
    </row>
    <row r="3" spans="1:33" hidden="1">
      <c r="E3" s="9"/>
    </row>
    <row r="4" spans="1:33" hidden="1"/>
    <row r="5" spans="1:33" hidden="1"/>
    <row r="6" spans="1:33" hidden="1"/>
    <row r="7" spans="1:33" hidden="1"/>
    <row r="8" spans="1:33" hidden="1"/>
    <row r="9" spans="1:33" hidden="1">
      <c r="A9" s="8">
        <f>C15</f>
        <v>0</v>
      </c>
    </row>
    <row r="10" spans="1:33">
      <c r="A10" s="8" t="s">
        <v>1338</v>
      </c>
      <c r="C10" s="10" t="s">
        <v>226</v>
      </c>
      <c r="D10" s="11"/>
      <c r="E10" s="11"/>
      <c r="F10" s="11"/>
      <c r="G10" s="11"/>
      <c r="H10" s="11"/>
      <c r="I10" s="11"/>
      <c r="J10" s="12"/>
      <c r="K10" s="10" t="s">
        <v>262</v>
      </c>
      <c r="L10" s="11"/>
      <c r="M10" s="11"/>
      <c r="N10" s="12"/>
      <c r="O10" s="10" t="s">
        <v>240</v>
      </c>
      <c r="P10" s="12"/>
      <c r="Q10" s="10" t="s">
        <v>245</v>
      </c>
      <c r="R10" s="11"/>
      <c r="S10" s="11"/>
      <c r="T10" s="11"/>
      <c r="U10" s="11"/>
      <c r="V10" s="12"/>
      <c r="W10" s="57" t="s">
        <v>1277</v>
      </c>
      <c r="X10" s="10" t="s">
        <v>291</v>
      </c>
      <c r="Y10" s="12"/>
      <c r="Z10" s="10" t="s">
        <v>295</v>
      </c>
      <c r="AA10" s="11"/>
      <c r="AB10" s="11"/>
      <c r="AC10" s="12"/>
      <c r="AD10" s="10" t="s">
        <v>8</v>
      </c>
      <c r="AE10" s="11"/>
      <c r="AF10" s="11"/>
      <c r="AG10" s="12"/>
    </row>
    <row r="11" spans="1:33">
      <c r="C11" s="13" t="s">
        <v>227</v>
      </c>
      <c r="D11" s="13" t="s">
        <v>232</v>
      </c>
      <c r="E11" s="13" t="s">
        <v>237</v>
      </c>
      <c r="F11" s="13" t="s">
        <v>242</v>
      </c>
      <c r="G11" s="13" t="s">
        <v>1246</v>
      </c>
      <c r="H11" s="13" t="s">
        <v>1247</v>
      </c>
      <c r="I11" s="13" t="s">
        <v>1248</v>
      </c>
      <c r="J11" s="13" t="s">
        <v>1250</v>
      </c>
      <c r="K11" s="14" t="s">
        <v>263</v>
      </c>
      <c r="L11" s="15"/>
      <c r="M11" s="14" t="s">
        <v>268</v>
      </c>
      <c r="N11" s="15"/>
      <c r="O11" s="13" t="s">
        <v>273</v>
      </c>
      <c r="P11" s="13" t="s">
        <v>275</v>
      </c>
      <c r="Q11" s="52" t="s">
        <v>1262</v>
      </c>
      <c r="R11" s="14" t="s">
        <v>153</v>
      </c>
      <c r="S11" s="16"/>
      <c r="T11" s="16"/>
      <c r="U11" s="16"/>
      <c r="V11" s="15"/>
      <c r="W11" s="58"/>
      <c r="X11" s="60" t="s">
        <v>1263</v>
      </c>
      <c r="Y11" s="65" t="s">
        <v>1266</v>
      </c>
      <c r="Z11" s="14" t="s">
        <v>296</v>
      </c>
      <c r="AA11" s="15"/>
      <c r="AB11" s="14" t="s">
        <v>298</v>
      </c>
      <c r="AC11" s="15"/>
      <c r="AD11" s="14" t="s">
        <v>301</v>
      </c>
      <c r="AE11" s="16"/>
      <c r="AF11" s="15"/>
      <c r="AG11" s="83" t="s">
        <v>1274</v>
      </c>
    </row>
    <row r="12" spans="1:33" ht="48">
      <c r="C12" s="17"/>
      <c r="D12" s="17"/>
      <c r="E12" s="17"/>
      <c r="F12" s="17"/>
      <c r="G12" s="17"/>
      <c r="H12" s="17"/>
      <c r="I12" s="17"/>
      <c r="J12" s="17"/>
      <c r="K12" s="13" t="s">
        <v>1254</v>
      </c>
      <c r="L12" s="13" t="s">
        <v>266</v>
      </c>
      <c r="M12" s="13" t="s">
        <v>1258</v>
      </c>
      <c r="N12" s="13" t="s">
        <v>270</v>
      </c>
      <c r="O12" s="17"/>
      <c r="P12" s="17"/>
      <c r="Q12" s="53"/>
      <c r="R12" s="56" t="s">
        <v>5</v>
      </c>
      <c r="S12" s="56" t="s">
        <v>6</v>
      </c>
      <c r="T12" s="56" t="s">
        <v>7</v>
      </c>
      <c r="U12" s="56" t="s">
        <v>284</v>
      </c>
      <c r="V12" s="56" t="s">
        <v>286</v>
      </c>
      <c r="W12" s="58"/>
      <c r="X12" s="61"/>
      <c r="Y12" s="66"/>
      <c r="Z12" s="70" t="s">
        <v>1268</v>
      </c>
      <c r="AA12" s="70" t="s">
        <v>1271</v>
      </c>
      <c r="AB12" s="70" t="s">
        <v>1268</v>
      </c>
      <c r="AC12" s="70" t="s">
        <v>1271</v>
      </c>
      <c r="AD12" s="73" t="s">
        <v>1280</v>
      </c>
      <c r="AE12" s="75" t="s">
        <v>1285</v>
      </c>
      <c r="AF12" s="79" t="s">
        <v>1282</v>
      </c>
      <c r="AG12" s="84"/>
    </row>
    <row r="13" spans="1:33">
      <c r="A13" s="24"/>
      <c r="B13" s="25"/>
      <c r="C13" s="19"/>
      <c r="D13" s="19"/>
      <c r="E13" s="19"/>
      <c r="F13" s="19"/>
      <c r="G13" s="19"/>
      <c r="H13" s="19"/>
      <c r="I13" s="19"/>
      <c r="J13" s="19"/>
      <c r="K13" s="19"/>
      <c r="L13" s="19"/>
      <c r="M13" s="19"/>
      <c r="N13" s="19"/>
      <c r="O13" s="19"/>
      <c r="P13" s="19"/>
      <c r="Q13" s="54" t="s">
        <v>278</v>
      </c>
      <c r="R13" s="54" t="s">
        <v>278</v>
      </c>
      <c r="S13" s="54" t="s">
        <v>278</v>
      </c>
      <c r="T13" s="54" t="s">
        <v>278</v>
      </c>
      <c r="U13" s="54" t="s">
        <v>278</v>
      </c>
      <c r="V13" s="54" t="s">
        <v>278</v>
      </c>
      <c r="W13" s="54" t="s">
        <v>278</v>
      </c>
      <c r="X13" s="62" t="s">
        <v>292</v>
      </c>
      <c r="Y13" s="67" t="s">
        <v>278</v>
      </c>
      <c r="Z13" s="71" t="s">
        <v>292</v>
      </c>
      <c r="AA13" s="71" t="s">
        <v>292</v>
      </c>
      <c r="AB13" s="71" t="s">
        <v>292</v>
      </c>
      <c r="AC13" s="71" t="s">
        <v>292</v>
      </c>
      <c r="AD13" s="62" t="s">
        <v>292</v>
      </c>
      <c r="AE13" s="76" t="s">
        <v>302</v>
      </c>
      <c r="AF13" s="80" t="s">
        <v>303</v>
      </c>
      <c r="AG13" s="85" t="s">
        <v>278</v>
      </c>
    </row>
    <row r="14" spans="1:33">
      <c r="A14" s="24"/>
      <c r="B14" s="25"/>
      <c r="C14" s="21"/>
      <c r="D14" s="21"/>
      <c r="E14" s="21"/>
      <c r="F14" s="21"/>
      <c r="G14" s="21"/>
      <c r="H14" s="21"/>
      <c r="I14" s="21"/>
      <c r="J14" s="21"/>
      <c r="K14" s="21"/>
      <c r="L14" s="23" t="s">
        <v>1175</v>
      </c>
      <c r="M14" s="21"/>
      <c r="N14" s="23" t="s">
        <v>1175</v>
      </c>
      <c r="O14" s="21"/>
      <c r="P14" s="21"/>
      <c r="Q14" s="55"/>
      <c r="R14" s="55"/>
      <c r="S14" s="55"/>
      <c r="T14" s="55"/>
      <c r="U14" s="55"/>
      <c r="V14" s="55"/>
      <c r="W14" s="55"/>
      <c r="X14" s="63"/>
      <c r="Y14" s="68"/>
      <c r="Z14" s="72"/>
      <c r="AA14" s="72"/>
      <c r="AB14" s="72"/>
      <c r="AC14" s="72"/>
      <c r="AD14" s="63"/>
      <c r="AE14" s="77"/>
      <c r="AF14" s="81"/>
      <c r="AG14" s="86"/>
    </row>
    <row r="15" spans="1:33">
      <c r="C15" s="22"/>
    </row>
  </sheetData>
  <autoFilter ref="C14:AG14" xr:uid="{22B02887-65BE-460C-9431-4E3735A20251}"/>
  <mergeCells count="34">
    <mergeCell ref="A13:B13"/>
    <mergeCell ref="A14:B14"/>
    <mergeCell ref="AD11:AF11"/>
    <mergeCell ref="AG11:AG12"/>
    <mergeCell ref="K12:K13"/>
    <mergeCell ref="L12:L13"/>
    <mergeCell ref="M12:M13"/>
    <mergeCell ref="N12:N13"/>
    <mergeCell ref="Q11:Q12"/>
    <mergeCell ref="R11:V11"/>
    <mergeCell ref="X11:X12"/>
    <mergeCell ref="Y11:Y12"/>
    <mergeCell ref="Z11:AA11"/>
    <mergeCell ref="AB11:AC11"/>
    <mergeCell ref="Z10:AC10"/>
    <mergeCell ref="AD10:AG10"/>
    <mergeCell ref="C11:C13"/>
    <mergeCell ref="D11:D13"/>
    <mergeCell ref="E11:E13"/>
    <mergeCell ref="F11:F13"/>
    <mergeCell ref="G11:G13"/>
    <mergeCell ref="H11:H13"/>
    <mergeCell ref="I11:I13"/>
    <mergeCell ref="J11:J13"/>
    <mergeCell ref="C10:J10"/>
    <mergeCell ref="K10:N10"/>
    <mergeCell ref="O10:P10"/>
    <mergeCell ref="Q10:V10"/>
    <mergeCell ref="W10:W12"/>
    <mergeCell ref="X10:Y10"/>
    <mergeCell ref="K11:L11"/>
    <mergeCell ref="M11:N11"/>
    <mergeCell ref="O11:O13"/>
    <mergeCell ref="P11:P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Master_Makro_1">
                <anchor moveWithCells="1" sizeWithCells="1">
                  <from>
                    <xdr:col>0</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8194" r:id="rId4" name="Button 2">
              <controlPr defaultSize="0" print="0" autoFill="0" autoPict="0" macro="[0]!Link_zu_datenblatt_erstellen">
                <anchor moveWithCells="1" sizeWithCells="1">
                  <from>
                    <xdr:col>8</xdr:col>
                    <xdr:colOff>28575</xdr:colOff>
                    <xdr:row>11</xdr:row>
                    <xdr:rowOff>171450</xdr:rowOff>
                  </from>
                  <to>
                    <xdr:col>8</xdr:col>
                    <xdr:colOff>790575</xdr:colOff>
                    <xdr:row>11</xdr:row>
                    <xdr:rowOff>323850</xdr:rowOff>
                  </to>
                </anchor>
              </controlPr>
            </control>
          </mc:Choice>
        </mc:AlternateContent>
        <mc:AlternateContent xmlns:mc="http://schemas.openxmlformats.org/markup-compatibility/2006">
          <mc:Choice Requires="x14">
            <control shapeId="8195" r:id="rId5" name="Button 3">
              <controlPr defaultSize="0" print="0" autoFill="0" autoPict="0" macro="[0]!Link_zu_datenblatt_loeschen">
                <anchor moveWithCells="1" sizeWithCells="1">
                  <from>
                    <xdr:col>8</xdr:col>
                    <xdr:colOff>28575</xdr:colOff>
                    <xdr:row>11</xdr:row>
                    <xdr:rowOff>323850</xdr:rowOff>
                  </from>
                  <to>
                    <xdr:col>8</xdr:col>
                    <xdr:colOff>790575</xdr:colOff>
                    <xdr:row>11</xdr:row>
                    <xdr:rowOff>476250</xdr:rowOff>
                  </to>
                </anchor>
              </controlPr>
            </control>
          </mc:Choice>
        </mc:AlternateContent>
        <mc:AlternateContent xmlns:mc="http://schemas.openxmlformats.org/markup-compatibility/2006">
          <mc:Choice Requires="x14">
            <control shapeId="8196" r:id="rId6" name="Button 4">
              <controlPr defaultSize="0" print="0" autoFill="0" autoPict="0" macro="[0]!Eingaben_Undo">
                <anchor moveWithCells="1" sizeWithCells="1">
                  <from>
                    <xdr:col>0</xdr:col>
                    <xdr:colOff>0</xdr:colOff>
                    <xdr:row>10</xdr:row>
                    <xdr:rowOff>0</xdr:rowOff>
                  </from>
                  <to>
                    <xdr:col>0</xdr:col>
                    <xdr:colOff>828675</xdr:colOff>
                    <xdr:row>11</xdr:row>
                    <xdr:rowOff>0</xdr:rowOff>
                  </to>
                </anchor>
              </controlPr>
            </control>
          </mc:Choice>
        </mc:AlternateContent>
        <mc:AlternateContent xmlns:mc="http://schemas.openxmlformats.org/markup-compatibility/2006">
          <mc:Choice Requires="x14">
            <control shapeId="8197" r:id="rId7" name="Button 5">
              <controlPr defaultSize="0" print="0" autoFill="0" autoPict="0" macro="[0]!Eingaben_Reset">
                <anchor moveWithCells="1" sizeWithCells="1">
                  <from>
                    <xdr:col>0</xdr:col>
                    <xdr:colOff>828675</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8198" r:id="rId8" name="Ausblenden_5_33_alle_plus_Gew1">
              <controlPr defaultSize="0" autoFill="0" autoLine="0" autoPict="0" macro="[0]!Eingaben_Spalten_Ausblenden">
                <anchor moveWithCells="1">
                  <from>
                    <xdr:col>0</xdr:col>
                    <xdr:colOff>0</xdr:colOff>
                    <xdr:row>14</xdr:row>
                    <xdr:rowOff>0</xdr:rowOff>
                  </from>
                  <to>
                    <xdr:col>1</xdr:col>
                    <xdr:colOff>0</xdr:colOff>
                    <xdr:row>15</xdr:row>
                    <xdr:rowOff>57150</xdr:rowOff>
                  </to>
                </anchor>
              </controlPr>
            </control>
          </mc:Choice>
        </mc:AlternateContent>
        <mc:AlternateContent xmlns:mc="http://schemas.openxmlformats.org/markup-compatibility/2006">
          <mc:Choice Requires="x14">
            <control shapeId="8199" r:id="rId9" name="Ausblenden_5_10">
              <controlPr defaultSize="0" autoFill="0" autoLine="0" autoPict="0" macro="[0]!Eingaben_Spalten_Ausblenden">
                <anchor moveWithCells="1">
                  <from>
                    <xdr:col>0</xdr:col>
                    <xdr:colOff>0</xdr:colOff>
                    <xdr:row>15</xdr:row>
                    <xdr:rowOff>0</xdr:rowOff>
                  </from>
                  <to>
                    <xdr:col>1</xdr:col>
                    <xdr:colOff>0</xdr:colOff>
                    <xdr:row>16</xdr:row>
                    <xdr:rowOff>57150</xdr:rowOff>
                  </to>
                </anchor>
              </controlPr>
            </control>
          </mc:Choice>
        </mc:AlternateContent>
        <mc:AlternateContent xmlns:mc="http://schemas.openxmlformats.org/markup-compatibility/2006">
          <mc:Choice Requires="x14">
            <control shapeId="8200" r:id="rId10" name="Ausblenden_11_14">
              <controlPr defaultSize="0" autoFill="0" autoLine="0" autoPict="0" macro="[0]!Eingaben_Spalten_Ausblenden">
                <anchor moveWithCells="1">
                  <from>
                    <xdr:col>0</xdr:col>
                    <xdr:colOff>0</xdr:colOff>
                    <xdr:row>16</xdr:row>
                    <xdr:rowOff>0</xdr:rowOff>
                  </from>
                  <to>
                    <xdr:col>1</xdr:col>
                    <xdr:colOff>0</xdr:colOff>
                    <xdr:row>17</xdr:row>
                    <xdr:rowOff>57150</xdr:rowOff>
                  </to>
                </anchor>
              </controlPr>
            </control>
          </mc:Choice>
        </mc:AlternateContent>
        <mc:AlternateContent xmlns:mc="http://schemas.openxmlformats.org/markup-compatibility/2006">
          <mc:Choice Requires="x14">
            <control shapeId="8201" r:id="rId11" name="Ausblenden_15_16">
              <controlPr defaultSize="0" autoFill="0" autoLine="0" autoPict="0" macro="[0]!Eingaben_Spalten_Ausblenden">
                <anchor moveWithCells="1">
                  <from>
                    <xdr:col>0</xdr:col>
                    <xdr:colOff>0</xdr:colOff>
                    <xdr:row>17</xdr:row>
                    <xdr:rowOff>0</xdr:rowOff>
                  </from>
                  <to>
                    <xdr:col>1</xdr:col>
                    <xdr:colOff>0</xdr:colOff>
                    <xdr:row>18</xdr:row>
                    <xdr:rowOff>57150</xdr:rowOff>
                  </to>
                </anchor>
              </controlPr>
            </control>
          </mc:Choice>
        </mc:AlternateContent>
        <mc:AlternateContent xmlns:mc="http://schemas.openxmlformats.org/markup-compatibility/2006">
          <mc:Choice Requires="x14">
            <control shapeId="8202" r:id="rId12" name="Ausblenden_17_22_plus_Gew1">
              <controlPr defaultSize="0" autoFill="0" autoLine="0" autoPict="0" macro="[0]!Eingaben_Spalten_Ausblenden">
                <anchor moveWithCells="1">
                  <from>
                    <xdr:col>0</xdr:col>
                    <xdr:colOff>0</xdr:colOff>
                    <xdr:row>18</xdr:row>
                    <xdr:rowOff>0</xdr:rowOff>
                  </from>
                  <to>
                    <xdr:col>1</xdr:col>
                    <xdr:colOff>0</xdr:colOff>
                    <xdr:row>19</xdr:row>
                    <xdr:rowOff>57150</xdr:rowOff>
                  </to>
                </anchor>
              </controlPr>
            </control>
          </mc:Choice>
        </mc:AlternateContent>
        <mc:AlternateContent xmlns:mc="http://schemas.openxmlformats.org/markup-compatibility/2006">
          <mc:Choice Requires="x14">
            <control shapeId="8203" r:id="rId13" name="Ausblenden_23_23_plus_Gew2">
              <controlPr defaultSize="0" autoFill="0" autoLine="0" autoPict="0" macro="[0]!Eingaben_Spalten_Ausblenden">
                <anchor moveWithCells="1">
                  <from>
                    <xdr:col>0</xdr:col>
                    <xdr:colOff>0</xdr:colOff>
                    <xdr:row>19</xdr:row>
                    <xdr:rowOff>0</xdr:rowOff>
                  </from>
                  <to>
                    <xdr:col>1</xdr:col>
                    <xdr:colOff>0</xdr:colOff>
                    <xdr:row>20</xdr:row>
                    <xdr:rowOff>57150</xdr:rowOff>
                  </to>
                </anchor>
              </controlPr>
            </control>
          </mc:Choice>
        </mc:AlternateContent>
        <mc:AlternateContent xmlns:mc="http://schemas.openxmlformats.org/markup-compatibility/2006">
          <mc:Choice Requires="x14">
            <control shapeId="8204" r:id="rId14" name="Ausblenden_24_25_plus_Gew2">
              <controlPr defaultSize="0" autoFill="0" autoLine="0" autoPict="0" macro="[0]!Eingaben_Spalten_Ausblenden">
                <anchor moveWithCells="1">
                  <from>
                    <xdr:col>0</xdr:col>
                    <xdr:colOff>0</xdr:colOff>
                    <xdr:row>20</xdr:row>
                    <xdr:rowOff>0</xdr:rowOff>
                  </from>
                  <to>
                    <xdr:col>1</xdr:col>
                    <xdr:colOff>0</xdr:colOff>
                    <xdr:row>21</xdr:row>
                    <xdr:rowOff>57150</xdr:rowOff>
                  </to>
                </anchor>
              </controlPr>
            </control>
          </mc:Choice>
        </mc:AlternateContent>
        <mc:AlternateContent xmlns:mc="http://schemas.openxmlformats.org/markup-compatibility/2006">
          <mc:Choice Requires="x14">
            <control shapeId="8205" r:id="rId15" name="Ausblenden_26_29_plus_Gew2">
              <controlPr defaultSize="0" autoFill="0" autoLine="0" autoPict="0" macro="[0]!Eingaben_Spalten_Ausblenden">
                <anchor moveWithCells="1">
                  <from>
                    <xdr:col>0</xdr:col>
                    <xdr:colOff>0</xdr:colOff>
                    <xdr:row>21</xdr:row>
                    <xdr:rowOff>0</xdr:rowOff>
                  </from>
                  <to>
                    <xdr:col>1</xdr:col>
                    <xdr:colOff>0</xdr:colOff>
                    <xdr:row>22</xdr:row>
                    <xdr:rowOff>57150</xdr:rowOff>
                  </to>
                </anchor>
              </controlPr>
            </control>
          </mc:Choice>
        </mc:AlternateContent>
        <mc:AlternateContent xmlns:mc="http://schemas.openxmlformats.org/markup-compatibility/2006">
          <mc:Choice Requires="x14">
            <control shapeId="8206" r:id="rId16" name="Ausblenden_30_33_plus_Gew2">
              <controlPr defaultSize="0" autoFill="0" autoLine="0" autoPict="0" macro="[0]!Eingaben_Spalten_Ausblenden">
                <anchor moveWithCells="1">
                  <from>
                    <xdr:col>0</xdr:col>
                    <xdr:colOff>0</xdr:colOff>
                    <xdr:row>22</xdr:row>
                    <xdr:rowOff>0</xdr:rowOff>
                  </from>
                  <to>
                    <xdr:col>1</xdr:col>
                    <xdr:colOff>0</xdr:colOff>
                    <xdr:row>23</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CA8B6-B92E-4532-9517-2765D2D03442}">
  <sheetPr codeName="Sheet18"/>
  <dimension ref="A1:AG15"/>
  <sheetViews>
    <sheetView topLeftCell="A10" workbookViewId="0">
      <pane xSplit="3" ySplit="5" topLeftCell="D15" activePane="bottomRight" state="frozen"/>
      <selection activeCell="A10" sqref="A10"/>
      <selection pane="topRight" activeCell="D10" sqref="D10"/>
      <selection pane="bottomLeft" activeCell="A15" sqref="A15"/>
      <selection pane="bottomRight" activeCell="C15" sqref="C15"/>
    </sheetView>
  </sheetViews>
  <sheetFormatPr defaultRowHeight="12"/>
  <cols>
    <col min="1" max="1" width="19.7109375" style="8" customWidth="1"/>
    <col min="2" max="2" width="5.28515625" style="8" customWidth="1"/>
    <col min="3" max="3" width="14.7109375" style="8" customWidth="1"/>
    <col min="4" max="4" width="6.28515625" style="8" customWidth="1"/>
    <col min="5" max="5" width="20.7109375" style="8" customWidth="1"/>
    <col min="6" max="6" width="8.85546875" style="8" customWidth="1"/>
    <col min="7" max="7" width="10.85546875" style="8" customWidth="1"/>
    <col min="8" max="8" width="6.5703125" style="8" customWidth="1"/>
    <col min="9" max="9" width="12" style="8" customWidth="1"/>
    <col min="10" max="10" width="18.7109375" style="8" customWidth="1"/>
    <col min="11" max="11" width="12.85546875" style="8" customWidth="1"/>
    <col min="12" max="14" width="12.7109375" style="8" customWidth="1"/>
    <col min="15" max="16" width="15.7109375" style="8" customWidth="1"/>
    <col min="17" max="17" width="10.42578125" style="51" customWidth="1"/>
    <col min="18" max="22" width="7.28515625" style="51" customWidth="1"/>
    <col min="23" max="23" width="9.28515625" style="51" customWidth="1"/>
    <col min="24" max="24" width="9.7109375" style="59" customWidth="1"/>
    <col min="25" max="25" width="9.7109375" style="64" customWidth="1"/>
    <col min="26" max="29" width="10.28515625" style="69" customWidth="1"/>
    <col min="30" max="30" width="9.140625" style="59"/>
    <col min="31" max="31" width="9.140625" style="74"/>
    <col min="32" max="32" width="9.140625" style="78"/>
    <col min="33" max="33" width="6.28515625" style="82" customWidth="1"/>
    <col min="34" max="16384" width="9.140625" style="8"/>
  </cols>
  <sheetData>
    <row r="1" spans="1:33" hidden="1"/>
    <row r="2" spans="1:33" hidden="1">
      <c r="E2" s="9"/>
    </row>
    <row r="3" spans="1:33" hidden="1">
      <c r="E3" s="9"/>
    </row>
    <row r="4" spans="1:33" hidden="1"/>
    <row r="5" spans="1:33" hidden="1"/>
    <row r="6" spans="1:33" hidden="1"/>
    <row r="7" spans="1:33" hidden="1"/>
    <row r="8" spans="1:33" hidden="1"/>
    <row r="9" spans="1:33" hidden="1">
      <c r="A9" s="8">
        <f>C15</f>
        <v>0</v>
      </c>
    </row>
    <row r="10" spans="1:33">
      <c r="A10" s="8" t="s">
        <v>1338</v>
      </c>
      <c r="C10" s="10" t="s">
        <v>226</v>
      </c>
      <c r="D10" s="11"/>
      <c r="E10" s="11"/>
      <c r="F10" s="11"/>
      <c r="G10" s="11"/>
      <c r="H10" s="11"/>
      <c r="I10" s="11"/>
      <c r="J10" s="12"/>
      <c r="K10" s="10" t="s">
        <v>262</v>
      </c>
      <c r="L10" s="11"/>
      <c r="M10" s="11"/>
      <c r="N10" s="12"/>
      <c r="O10" s="10" t="s">
        <v>240</v>
      </c>
      <c r="P10" s="12"/>
      <c r="Q10" s="10" t="s">
        <v>245</v>
      </c>
      <c r="R10" s="11"/>
      <c r="S10" s="11"/>
      <c r="T10" s="11"/>
      <c r="U10" s="11"/>
      <c r="V10" s="12"/>
      <c r="W10" s="57" t="s">
        <v>1277</v>
      </c>
      <c r="X10" s="10" t="s">
        <v>291</v>
      </c>
      <c r="Y10" s="12"/>
      <c r="Z10" s="10" t="s">
        <v>295</v>
      </c>
      <c r="AA10" s="11"/>
      <c r="AB10" s="11"/>
      <c r="AC10" s="12"/>
      <c r="AD10" s="10" t="s">
        <v>8</v>
      </c>
      <c r="AE10" s="11"/>
      <c r="AF10" s="11"/>
      <c r="AG10" s="12"/>
    </row>
    <row r="11" spans="1:33">
      <c r="C11" s="13" t="s">
        <v>227</v>
      </c>
      <c r="D11" s="13" t="s">
        <v>232</v>
      </c>
      <c r="E11" s="13" t="s">
        <v>237</v>
      </c>
      <c r="F11" s="13" t="s">
        <v>242</v>
      </c>
      <c r="G11" s="13" t="s">
        <v>1246</v>
      </c>
      <c r="H11" s="13" t="s">
        <v>1247</v>
      </c>
      <c r="I11" s="13" t="s">
        <v>1248</v>
      </c>
      <c r="J11" s="13" t="s">
        <v>1250</v>
      </c>
      <c r="K11" s="14" t="s">
        <v>263</v>
      </c>
      <c r="L11" s="15"/>
      <c r="M11" s="14" t="s">
        <v>268</v>
      </c>
      <c r="N11" s="15"/>
      <c r="O11" s="13" t="s">
        <v>273</v>
      </c>
      <c r="P11" s="13" t="s">
        <v>275</v>
      </c>
      <c r="Q11" s="52" t="s">
        <v>1262</v>
      </c>
      <c r="R11" s="14" t="s">
        <v>153</v>
      </c>
      <c r="S11" s="16"/>
      <c r="T11" s="16"/>
      <c r="U11" s="16"/>
      <c r="V11" s="15"/>
      <c r="W11" s="58"/>
      <c r="X11" s="60" t="s">
        <v>1263</v>
      </c>
      <c r="Y11" s="65" t="s">
        <v>1266</v>
      </c>
      <c r="Z11" s="14" t="s">
        <v>296</v>
      </c>
      <c r="AA11" s="15"/>
      <c r="AB11" s="14" t="s">
        <v>298</v>
      </c>
      <c r="AC11" s="15"/>
      <c r="AD11" s="14" t="s">
        <v>301</v>
      </c>
      <c r="AE11" s="16"/>
      <c r="AF11" s="15"/>
      <c r="AG11" s="83" t="s">
        <v>1274</v>
      </c>
    </row>
    <row r="12" spans="1:33" ht="48">
      <c r="C12" s="17"/>
      <c r="D12" s="17"/>
      <c r="E12" s="17"/>
      <c r="F12" s="17"/>
      <c r="G12" s="17"/>
      <c r="H12" s="17"/>
      <c r="I12" s="17"/>
      <c r="J12" s="17"/>
      <c r="K12" s="13" t="s">
        <v>1254</v>
      </c>
      <c r="L12" s="13" t="s">
        <v>266</v>
      </c>
      <c r="M12" s="13" t="s">
        <v>1258</v>
      </c>
      <c r="N12" s="13" t="s">
        <v>270</v>
      </c>
      <c r="O12" s="17"/>
      <c r="P12" s="17"/>
      <c r="Q12" s="53"/>
      <c r="R12" s="56" t="s">
        <v>5</v>
      </c>
      <c r="S12" s="56" t="s">
        <v>6</v>
      </c>
      <c r="T12" s="56" t="s">
        <v>7</v>
      </c>
      <c r="U12" s="56" t="s">
        <v>284</v>
      </c>
      <c r="V12" s="56" t="s">
        <v>286</v>
      </c>
      <c r="W12" s="58"/>
      <c r="X12" s="61"/>
      <c r="Y12" s="66"/>
      <c r="Z12" s="70" t="s">
        <v>1268</v>
      </c>
      <c r="AA12" s="70" t="s">
        <v>1271</v>
      </c>
      <c r="AB12" s="70" t="s">
        <v>1268</v>
      </c>
      <c r="AC12" s="70" t="s">
        <v>1271</v>
      </c>
      <c r="AD12" s="73" t="s">
        <v>1280</v>
      </c>
      <c r="AE12" s="75" t="s">
        <v>1285</v>
      </c>
      <c r="AF12" s="79" t="s">
        <v>1282</v>
      </c>
      <c r="AG12" s="84"/>
    </row>
    <row r="13" spans="1:33">
      <c r="A13" s="24"/>
      <c r="B13" s="25"/>
      <c r="C13" s="19"/>
      <c r="D13" s="19"/>
      <c r="E13" s="19"/>
      <c r="F13" s="19"/>
      <c r="G13" s="19"/>
      <c r="H13" s="19"/>
      <c r="I13" s="19"/>
      <c r="J13" s="19"/>
      <c r="K13" s="19"/>
      <c r="L13" s="19"/>
      <c r="M13" s="19"/>
      <c r="N13" s="19"/>
      <c r="O13" s="19"/>
      <c r="P13" s="19"/>
      <c r="Q13" s="54" t="s">
        <v>278</v>
      </c>
      <c r="R13" s="54" t="s">
        <v>278</v>
      </c>
      <c r="S13" s="54" t="s">
        <v>278</v>
      </c>
      <c r="T13" s="54" t="s">
        <v>278</v>
      </c>
      <c r="U13" s="54" t="s">
        <v>278</v>
      </c>
      <c r="V13" s="54" t="s">
        <v>278</v>
      </c>
      <c r="W13" s="54" t="s">
        <v>278</v>
      </c>
      <c r="X13" s="62" t="s">
        <v>292</v>
      </c>
      <c r="Y13" s="67" t="s">
        <v>278</v>
      </c>
      <c r="Z13" s="71" t="s">
        <v>292</v>
      </c>
      <c r="AA13" s="71" t="s">
        <v>292</v>
      </c>
      <c r="AB13" s="71" t="s">
        <v>292</v>
      </c>
      <c r="AC13" s="71" t="s">
        <v>292</v>
      </c>
      <c r="AD13" s="62" t="s">
        <v>292</v>
      </c>
      <c r="AE13" s="76" t="s">
        <v>302</v>
      </c>
      <c r="AF13" s="80" t="s">
        <v>303</v>
      </c>
      <c r="AG13" s="85" t="s">
        <v>278</v>
      </c>
    </row>
    <row r="14" spans="1:33">
      <c r="A14" s="24"/>
      <c r="B14" s="25"/>
      <c r="C14" s="21"/>
      <c r="D14" s="21"/>
      <c r="E14" s="21"/>
      <c r="F14" s="21"/>
      <c r="G14" s="21"/>
      <c r="H14" s="21"/>
      <c r="I14" s="21"/>
      <c r="J14" s="21"/>
      <c r="K14" s="21"/>
      <c r="L14" s="23" t="s">
        <v>1175</v>
      </c>
      <c r="M14" s="21"/>
      <c r="N14" s="23" t="s">
        <v>1175</v>
      </c>
      <c r="O14" s="21"/>
      <c r="P14" s="21"/>
      <c r="Q14" s="55"/>
      <c r="R14" s="55"/>
      <c r="S14" s="55"/>
      <c r="T14" s="55"/>
      <c r="U14" s="55"/>
      <c r="V14" s="55"/>
      <c r="W14" s="55"/>
      <c r="X14" s="63"/>
      <c r="Y14" s="68"/>
      <c r="Z14" s="72"/>
      <c r="AA14" s="72"/>
      <c r="AB14" s="72"/>
      <c r="AC14" s="72"/>
      <c r="AD14" s="63"/>
      <c r="AE14" s="77"/>
      <c r="AF14" s="81"/>
      <c r="AG14" s="86"/>
    </row>
    <row r="15" spans="1:33">
      <c r="C15" s="22"/>
    </row>
  </sheetData>
  <autoFilter ref="C14:AG14" xr:uid="{22B02887-65BE-460C-9431-4E3735A20251}"/>
  <mergeCells count="34">
    <mergeCell ref="A13:B13"/>
    <mergeCell ref="A14:B14"/>
    <mergeCell ref="AD11:AF11"/>
    <mergeCell ref="AG11:AG12"/>
    <mergeCell ref="K12:K13"/>
    <mergeCell ref="L12:L13"/>
    <mergeCell ref="M12:M13"/>
    <mergeCell ref="N12:N13"/>
    <mergeCell ref="Q11:Q12"/>
    <mergeCell ref="R11:V11"/>
    <mergeCell ref="X11:X12"/>
    <mergeCell ref="Y11:Y12"/>
    <mergeCell ref="Z11:AA11"/>
    <mergeCell ref="AB11:AC11"/>
    <mergeCell ref="Z10:AC10"/>
    <mergeCell ref="AD10:AG10"/>
    <mergeCell ref="C11:C13"/>
    <mergeCell ref="D11:D13"/>
    <mergeCell ref="E11:E13"/>
    <mergeCell ref="F11:F13"/>
    <mergeCell ref="G11:G13"/>
    <mergeCell ref="H11:H13"/>
    <mergeCell ref="I11:I13"/>
    <mergeCell ref="J11:J13"/>
    <mergeCell ref="C10:J10"/>
    <mergeCell ref="K10:N10"/>
    <mergeCell ref="O10:P10"/>
    <mergeCell ref="Q10:V10"/>
    <mergeCell ref="W10:W12"/>
    <mergeCell ref="X10:Y10"/>
    <mergeCell ref="K11:L11"/>
    <mergeCell ref="M11:N11"/>
    <mergeCell ref="O11:O13"/>
    <mergeCell ref="P11:P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aster_Makro_1">
                <anchor moveWithCells="1" sizeWithCells="1">
                  <from>
                    <xdr:col>0</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9218" r:id="rId4" name="Button 2">
              <controlPr defaultSize="0" print="0" autoFill="0" autoPict="0" macro="[0]!Link_zu_datenblatt_erstellen">
                <anchor moveWithCells="1" sizeWithCells="1">
                  <from>
                    <xdr:col>8</xdr:col>
                    <xdr:colOff>28575</xdr:colOff>
                    <xdr:row>11</xdr:row>
                    <xdr:rowOff>171450</xdr:rowOff>
                  </from>
                  <to>
                    <xdr:col>8</xdr:col>
                    <xdr:colOff>790575</xdr:colOff>
                    <xdr:row>11</xdr:row>
                    <xdr:rowOff>323850</xdr:rowOff>
                  </to>
                </anchor>
              </controlPr>
            </control>
          </mc:Choice>
        </mc:AlternateContent>
        <mc:AlternateContent xmlns:mc="http://schemas.openxmlformats.org/markup-compatibility/2006">
          <mc:Choice Requires="x14">
            <control shapeId="9219" r:id="rId5" name="Button 3">
              <controlPr defaultSize="0" print="0" autoFill="0" autoPict="0" macro="[0]!Link_zu_datenblatt_loeschen">
                <anchor moveWithCells="1" sizeWithCells="1">
                  <from>
                    <xdr:col>8</xdr:col>
                    <xdr:colOff>28575</xdr:colOff>
                    <xdr:row>11</xdr:row>
                    <xdr:rowOff>323850</xdr:rowOff>
                  </from>
                  <to>
                    <xdr:col>8</xdr:col>
                    <xdr:colOff>790575</xdr:colOff>
                    <xdr:row>11</xdr:row>
                    <xdr:rowOff>476250</xdr:rowOff>
                  </to>
                </anchor>
              </controlPr>
            </control>
          </mc:Choice>
        </mc:AlternateContent>
        <mc:AlternateContent xmlns:mc="http://schemas.openxmlformats.org/markup-compatibility/2006">
          <mc:Choice Requires="x14">
            <control shapeId="9220" r:id="rId6" name="Button 4">
              <controlPr defaultSize="0" print="0" autoFill="0" autoPict="0" macro="[0]!Eingaben_Undo">
                <anchor moveWithCells="1" sizeWithCells="1">
                  <from>
                    <xdr:col>0</xdr:col>
                    <xdr:colOff>0</xdr:colOff>
                    <xdr:row>10</xdr:row>
                    <xdr:rowOff>0</xdr:rowOff>
                  </from>
                  <to>
                    <xdr:col>0</xdr:col>
                    <xdr:colOff>828675</xdr:colOff>
                    <xdr:row>11</xdr:row>
                    <xdr:rowOff>0</xdr:rowOff>
                  </to>
                </anchor>
              </controlPr>
            </control>
          </mc:Choice>
        </mc:AlternateContent>
        <mc:AlternateContent xmlns:mc="http://schemas.openxmlformats.org/markup-compatibility/2006">
          <mc:Choice Requires="x14">
            <control shapeId="9221" r:id="rId7" name="Button 5">
              <controlPr defaultSize="0" print="0" autoFill="0" autoPict="0" macro="[0]!Eingaben_Reset">
                <anchor moveWithCells="1" sizeWithCells="1">
                  <from>
                    <xdr:col>0</xdr:col>
                    <xdr:colOff>828675</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9222" r:id="rId8" name="Ausblenden_5_33_alle_plus_Gew1">
              <controlPr defaultSize="0" autoFill="0" autoLine="0" autoPict="0" macro="[0]!Eingaben_Spalten_Ausblenden">
                <anchor moveWithCells="1">
                  <from>
                    <xdr:col>0</xdr:col>
                    <xdr:colOff>0</xdr:colOff>
                    <xdr:row>14</xdr:row>
                    <xdr:rowOff>0</xdr:rowOff>
                  </from>
                  <to>
                    <xdr:col>1</xdr:col>
                    <xdr:colOff>0</xdr:colOff>
                    <xdr:row>15</xdr:row>
                    <xdr:rowOff>57150</xdr:rowOff>
                  </to>
                </anchor>
              </controlPr>
            </control>
          </mc:Choice>
        </mc:AlternateContent>
        <mc:AlternateContent xmlns:mc="http://schemas.openxmlformats.org/markup-compatibility/2006">
          <mc:Choice Requires="x14">
            <control shapeId="9223" r:id="rId9" name="Ausblenden_5_10">
              <controlPr defaultSize="0" autoFill="0" autoLine="0" autoPict="0" macro="[0]!Eingaben_Spalten_Ausblenden">
                <anchor moveWithCells="1">
                  <from>
                    <xdr:col>0</xdr:col>
                    <xdr:colOff>0</xdr:colOff>
                    <xdr:row>15</xdr:row>
                    <xdr:rowOff>0</xdr:rowOff>
                  </from>
                  <to>
                    <xdr:col>1</xdr:col>
                    <xdr:colOff>0</xdr:colOff>
                    <xdr:row>16</xdr:row>
                    <xdr:rowOff>57150</xdr:rowOff>
                  </to>
                </anchor>
              </controlPr>
            </control>
          </mc:Choice>
        </mc:AlternateContent>
        <mc:AlternateContent xmlns:mc="http://schemas.openxmlformats.org/markup-compatibility/2006">
          <mc:Choice Requires="x14">
            <control shapeId="9224" r:id="rId10" name="Ausblenden_11_14">
              <controlPr defaultSize="0" autoFill="0" autoLine="0" autoPict="0" macro="[0]!Eingaben_Spalten_Ausblenden">
                <anchor moveWithCells="1">
                  <from>
                    <xdr:col>0</xdr:col>
                    <xdr:colOff>0</xdr:colOff>
                    <xdr:row>16</xdr:row>
                    <xdr:rowOff>0</xdr:rowOff>
                  </from>
                  <to>
                    <xdr:col>1</xdr:col>
                    <xdr:colOff>0</xdr:colOff>
                    <xdr:row>17</xdr:row>
                    <xdr:rowOff>57150</xdr:rowOff>
                  </to>
                </anchor>
              </controlPr>
            </control>
          </mc:Choice>
        </mc:AlternateContent>
        <mc:AlternateContent xmlns:mc="http://schemas.openxmlformats.org/markup-compatibility/2006">
          <mc:Choice Requires="x14">
            <control shapeId="9225" r:id="rId11" name="Ausblenden_15_16">
              <controlPr defaultSize="0" autoFill="0" autoLine="0" autoPict="0" macro="[0]!Eingaben_Spalten_Ausblenden">
                <anchor moveWithCells="1">
                  <from>
                    <xdr:col>0</xdr:col>
                    <xdr:colOff>0</xdr:colOff>
                    <xdr:row>17</xdr:row>
                    <xdr:rowOff>0</xdr:rowOff>
                  </from>
                  <to>
                    <xdr:col>1</xdr:col>
                    <xdr:colOff>0</xdr:colOff>
                    <xdr:row>18</xdr:row>
                    <xdr:rowOff>57150</xdr:rowOff>
                  </to>
                </anchor>
              </controlPr>
            </control>
          </mc:Choice>
        </mc:AlternateContent>
        <mc:AlternateContent xmlns:mc="http://schemas.openxmlformats.org/markup-compatibility/2006">
          <mc:Choice Requires="x14">
            <control shapeId="9226" r:id="rId12" name="Ausblenden_17_22_plus_Gew1">
              <controlPr defaultSize="0" autoFill="0" autoLine="0" autoPict="0" macro="[0]!Eingaben_Spalten_Ausblenden">
                <anchor moveWithCells="1">
                  <from>
                    <xdr:col>0</xdr:col>
                    <xdr:colOff>0</xdr:colOff>
                    <xdr:row>18</xdr:row>
                    <xdr:rowOff>0</xdr:rowOff>
                  </from>
                  <to>
                    <xdr:col>1</xdr:col>
                    <xdr:colOff>0</xdr:colOff>
                    <xdr:row>19</xdr:row>
                    <xdr:rowOff>57150</xdr:rowOff>
                  </to>
                </anchor>
              </controlPr>
            </control>
          </mc:Choice>
        </mc:AlternateContent>
        <mc:AlternateContent xmlns:mc="http://schemas.openxmlformats.org/markup-compatibility/2006">
          <mc:Choice Requires="x14">
            <control shapeId="9227" r:id="rId13" name="Ausblenden_23_23_plus_Gew2">
              <controlPr defaultSize="0" autoFill="0" autoLine="0" autoPict="0" macro="[0]!Eingaben_Spalten_Ausblenden">
                <anchor moveWithCells="1">
                  <from>
                    <xdr:col>0</xdr:col>
                    <xdr:colOff>0</xdr:colOff>
                    <xdr:row>19</xdr:row>
                    <xdr:rowOff>0</xdr:rowOff>
                  </from>
                  <to>
                    <xdr:col>1</xdr:col>
                    <xdr:colOff>0</xdr:colOff>
                    <xdr:row>20</xdr:row>
                    <xdr:rowOff>57150</xdr:rowOff>
                  </to>
                </anchor>
              </controlPr>
            </control>
          </mc:Choice>
        </mc:AlternateContent>
        <mc:AlternateContent xmlns:mc="http://schemas.openxmlformats.org/markup-compatibility/2006">
          <mc:Choice Requires="x14">
            <control shapeId="9228" r:id="rId14" name="Ausblenden_24_25_plus_Gew2">
              <controlPr defaultSize="0" autoFill="0" autoLine="0" autoPict="0" macro="[0]!Eingaben_Spalten_Ausblenden">
                <anchor moveWithCells="1">
                  <from>
                    <xdr:col>0</xdr:col>
                    <xdr:colOff>0</xdr:colOff>
                    <xdr:row>20</xdr:row>
                    <xdr:rowOff>0</xdr:rowOff>
                  </from>
                  <to>
                    <xdr:col>1</xdr:col>
                    <xdr:colOff>0</xdr:colOff>
                    <xdr:row>21</xdr:row>
                    <xdr:rowOff>57150</xdr:rowOff>
                  </to>
                </anchor>
              </controlPr>
            </control>
          </mc:Choice>
        </mc:AlternateContent>
        <mc:AlternateContent xmlns:mc="http://schemas.openxmlformats.org/markup-compatibility/2006">
          <mc:Choice Requires="x14">
            <control shapeId="9229" r:id="rId15" name="Ausblenden_26_29_plus_Gew2">
              <controlPr defaultSize="0" autoFill="0" autoLine="0" autoPict="0" macro="[0]!Eingaben_Spalten_Ausblenden">
                <anchor moveWithCells="1">
                  <from>
                    <xdr:col>0</xdr:col>
                    <xdr:colOff>0</xdr:colOff>
                    <xdr:row>21</xdr:row>
                    <xdr:rowOff>0</xdr:rowOff>
                  </from>
                  <to>
                    <xdr:col>1</xdr:col>
                    <xdr:colOff>0</xdr:colOff>
                    <xdr:row>22</xdr:row>
                    <xdr:rowOff>57150</xdr:rowOff>
                  </to>
                </anchor>
              </controlPr>
            </control>
          </mc:Choice>
        </mc:AlternateContent>
        <mc:AlternateContent xmlns:mc="http://schemas.openxmlformats.org/markup-compatibility/2006">
          <mc:Choice Requires="x14">
            <control shapeId="9230" r:id="rId16" name="Ausblenden_30_33_plus_Gew2">
              <controlPr defaultSize="0" autoFill="0" autoLine="0" autoPict="0" macro="[0]!Eingaben_Spalten_Ausblenden">
                <anchor moveWithCells="1">
                  <from>
                    <xdr:col>0</xdr:col>
                    <xdr:colOff>0</xdr:colOff>
                    <xdr:row>22</xdr:row>
                    <xdr:rowOff>0</xdr:rowOff>
                  </from>
                  <to>
                    <xdr:col>1</xdr:col>
                    <xdr:colOff>0</xdr:colOff>
                    <xdr:row>23</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02887-65BE-460C-9431-4E3735A20251}">
  <sheetPr codeName="Sheet2"/>
  <dimension ref="A1:AG15"/>
  <sheetViews>
    <sheetView tabSelected="1" topLeftCell="A10" workbookViewId="0">
      <pane xSplit="3" ySplit="5" topLeftCell="D15" activePane="bottomRight" state="frozen"/>
      <selection activeCell="A10" sqref="A10"/>
      <selection pane="topRight" activeCell="D10" sqref="D10"/>
      <selection pane="bottomLeft" activeCell="A15" sqref="A15"/>
      <selection pane="bottomRight" activeCell="C15" sqref="C15"/>
    </sheetView>
  </sheetViews>
  <sheetFormatPr defaultRowHeight="12"/>
  <cols>
    <col min="1" max="1" width="19.7109375" style="8" customWidth="1"/>
    <col min="2" max="2" width="5.28515625" style="8" customWidth="1"/>
    <col min="3" max="3" width="14.7109375" style="8" customWidth="1"/>
    <col min="4" max="4" width="6.28515625" style="8" customWidth="1"/>
    <col min="5" max="5" width="20.7109375" style="8" customWidth="1"/>
    <col min="6" max="6" width="8.85546875" style="8" customWidth="1"/>
    <col min="7" max="7" width="10.85546875" style="8" customWidth="1"/>
    <col min="8" max="8" width="6.5703125" style="8" customWidth="1"/>
    <col min="9" max="9" width="12" style="8" customWidth="1"/>
    <col min="10" max="10" width="18.7109375" style="8" customWidth="1"/>
    <col min="11" max="11" width="12.85546875" style="8" customWidth="1"/>
    <col min="12" max="14" width="12.7109375" style="8" customWidth="1"/>
    <col min="15" max="16" width="15.7109375" style="8" customWidth="1"/>
    <col min="17" max="17" width="10.42578125" style="51" customWidth="1"/>
    <col min="18" max="22" width="7.28515625" style="51" customWidth="1"/>
    <col min="23" max="23" width="9.28515625" style="51" customWidth="1"/>
    <col min="24" max="24" width="9.7109375" style="59" customWidth="1"/>
    <col min="25" max="25" width="9.7109375" style="64" customWidth="1"/>
    <col min="26" max="29" width="10.28515625" style="69" customWidth="1"/>
    <col min="30" max="30" width="9.140625" style="59"/>
    <col min="31" max="31" width="9.140625" style="74"/>
    <col min="32" max="32" width="9.140625" style="78"/>
    <col min="33" max="33" width="6.28515625" style="82" customWidth="1"/>
    <col min="34" max="16384" width="9.140625" style="8"/>
  </cols>
  <sheetData>
    <row r="1" spans="1:33" hidden="1"/>
    <row r="2" spans="1:33" hidden="1">
      <c r="E2" s="9"/>
    </row>
    <row r="3" spans="1:33" hidden="1">
      <c r="E3" s="9"/>
    </row>
    <row r="4" spans="1:33" hidden="1"/>
    <row r="5" spans="1:33" hidden="1"/>
    <row r="6" spans="1:33" hidden="1"/>
    <row r="7" spans="1:33" hidden="1"/>
    <row r="8" spans="1:33" hidden="1"/>
    <row r="9" spans="1:33" hidden="1">
      <c r="A9" s="8">
        <f>C15</f>
        <v>0</v>
      </c>
    </row>
    <row r="10" spans="1:33">
      <c r="A10" s="8" t="s">
        <v>1338</v>
      </c>
      <c r="C10" s="10" t="s">
        <v>226</v>
      </c>
      <c r="D10" s="11"/>
      <c r="E10" s="11"/>
      <c r="F10" s="11"/>
      <c r="G10" s="11"/>
      <c r="H10" s="11"/>
      <c r="I10" s="11"/>
      <c r="J10" s="12"/>
      <c r="K10" s="10" t="s">
        <v>262</v>
      </c>
      <c r="L10" s="11"/>
      <c r="M10" s="11"/>
      <c r="N10" s="12"/>
      <c r="O10" s="10" t="s">
        <v>240</v>
      </c>
      <c r="P10" s="12"/>
      <c r="Q10" s="10" t="s">
        <v>245</v>
      </c>
      <c r="R10" s="11"/>
      <c r="S10" s="11"/>
      <c r="T10" s="11"/>
      <c r="U10" s="11"/>
      <c r="V10" s="12"/>
      <c r="W10" s="57" t="s">
        <v>1277</v>
      </c>
      <c r="X10" s="10" t="s">
        <v>291</v>
      </c>
      <c r="Y10" s="12"/>
      <c r="Z10" s="10" t="s">
        <v>295</v>
      </c>
      <c r="AA10" s="11"/>
      <c r="AB10" s="11"/>
      <c r="AC10" s="12"/>
      <c r="AD10" s="10" t="s">
        <v>8</v>
      </c>
      <c r="AE10" s="11"/>
      <c r="AF10" s="11"/>
      <c r="AG10" s="12"/>
    </row>
    <row r="11" spans="1:33">
      <c r="C11" s="13" t="s">
        <v>227</v>
      </c>
      <c r="D11" s="13" t="s">
        <v>232</v>
      </c>
      <c r="E11" s="13" t="s">
        <v>237</v>
      </c>
      <c r="F11" s="13" t="s">
        <v>242</v>
      </c>
      <c r="G11" s="13" t="s">
        <v>1246</v>
      </c>
      <c r="H11" s="13" t="s">
        <v>1247</v>
      </c>
      <c r="I11" s="13" t="s">
        <v>1248</v>
      </c>
      <c r="J11" s="13" t="s">
        <v>1250</v>
      </c>
      <c r="K11" s="14" t="s">
        <v>263</v>
      </c>
      <c r="L11" s="15"/>
      <c r="M11" s="14" t="s">
        <v>268</v>
      </c>
      <c r="N11" s="15"/>
      <c r="O11" s="13" t="s">
        <v>273</v>
      </c>
      <c r="P11" s="13" t="s">
        <v>275</v>
      </c>
      <c r="Q11" s="52" t="s">
        <v>1262</v>
      </c>
      <c r="R11" s="14" t="s">
        <v>153</v>
      </c>
      <c r="S11" s="16"/>
      <c r="T11" s="16"/>
      <c r="U11" s="16"/>
      <c r="V11" s="15"/>
      <c r="W11" s="58"/>
      <c r="X11" s="60" t="s">
        <v>1263</v>
      </c>
      <c r="Y11" s="65" t="s">
        <v>1266</v>
      </c>
      <c r="Z11" s="14" t="s">
        <v>296</v>
      </c>
      <c r="AA11" s="15"/>
      <c r="AB11" s="14" t="s">
        <v>298</v>
      </c>
      <c r="AC11" s="15"/>
      <c r="AD11" s="14" t="s">
        <v>301</v>
      </c>
      <c r="AE11" s="16"/>
      <c r="AF11" s="15"/>
      <c r="AG11" s="83" t="s">
        <v>1274</v>
      </c>
    </row>
    <row r="12" spans="1:33" ht="48">
      <c r="C12" s="17"/>
      <c r="D12" s="17"/>
      <c r="E12" s="17"/>
      <c r="F12" s="17"/>
      <c r="G12" s="17"/>
      <c r="H12" s="17"/>
      <c r="I12" s="17"/>
      <c r="J12" s="17"/>
      <c r="K12" s="13" t="s">
        <v>1254</v>
      </c>
      <c r="L12" s="13" t="s">
        <v>266</v>
      </c>
      <c r="M12" s="13" t="s">
        <v>1258</v>
      </c>
      <c r="N12" s="13" t="s">
        <v>270</v>
      </c>
      <c r="O12" s="17"/>
      <c r="P12" s="17"/>
      <c r="Q12" s="53"/>
      <c r="R12" s="56" t="s">
        <v>5</v>
      </c>
      <c r="S12" s="56" t="s">
        <v>6</v>
      </c>
      <c r="T12" s="56" t="s">
        <v>7</v>
      </c>
      <c r="U12" s="56" t="s">
        <v>284</v>
      </c>
      <c r="V12" s="56" t="s">
        <v>286</v>
      </c>
      <c r="W12" s="58"/>
      <c r="X12" s="61"/>
      <c r="Y12" s="66"/>
      <c r="Z12" s="70" t="s">
        <v>1268</v>
      </c>
      <c r="AA12" s="70" t="s">
        <v>1271</v>
      </c>
      <c r="AB12" s="70" t="s">
        <v>1268</v>
      </c>
      <c r="AC12" s="70" t="s">
        <v>1271</v>
      </c>
      <c r="AD12" s="73" t="s">
        <v>1280</v>
      </c>
      <c r="AE12" s="75" t="s">
        <v>1285</v>
      </c>
      <c r="AF12" s="79" t="s">
        <v>1282</v>
      </c>
      <c r="AG12" s="84"/>
    </row>
    <row r="13" spans="1:33">
      <c r="A13" s="24"/>
      <c r="B13" s="25"/>
      <c r="C13" s="19"/>
      <c r="D13" s="19"/>
      <c r="E13" s="19"/>
      <c r="F13" s="19"/>
      <c r="G13" s="19"/>
      <c r="H13" s="19"/>
      <c r="I13" s="19"/>
      <c r="J13" s="19"/>
      <c r="K13" s="19"/>
      <c r="L13" s="19"/>
      <c r="M13" s="19"/>
      <c r="N13" s="19"/>
      <c r="O13" s="19"/>
      <c r="P13" s="19"/>
      <c r="Q13" s="54" t="s">
        <v>278</v>
      </c>
      <c r="R13" s="54" t="s">
        <v>278</v>
      </c>
      <c r="S13" s="54" t="s">
        <v>278</v>
      </c>
      <c r="T13" s="54" t="s">
        <v>278</v>
      </c>
      <c r="U13" s="54" t="s">
        <v>278</v>
      </c>
      <c r="V13" s="54" t="s">
        <v>278</v>
      </c>
      <c r="W13" s="54" t="s">
        <v>278</v>
      </c>
      <c r="X13" s="62" t="s">
        <v>292</v>
      </c>
      <c r="Y13" s="67" t="s">
        <v>278</v>
      </c>
      <c r="Z13" s="71" t="s">
        <v>292</v>
      </c>
      <c r="AA13" s="71" t="s">
        <v>292</v>
      </c>
      <c r="AB13" s="71" t="s">
        <v>292</v>
      </c>
      <c r="AC13" s="71" t="s">
        <v>292</v>
      </c>
      <c r="AD13" s="62" t="s">
        <v>292</v>
      </c>
      <c r="AE13" s="76" t="s">
        <v>302</v>
      </c>
      <c r="AF13" s="80" t="s">
        <v>303</v>
      </c>
      <c r="AG13" s="85" t="s">
        <v>278</v>
      </c>
    </row>
    <row r="14" spans="1:33">
      <c r="A14" s="24"/>
      <c r="B14" s="25"/>
      <c r="C14" s="21"/>
      <c r="D14" s="21"/>
      <c r="E14" s="21"/>
      <c r="F14" s="21"/>
      <c r="G14" s="21"/>
      <c r="H14" s="21"/>
      <c r="I14" s="21"/>
      <c r="J14" s="21"/>
      <c r="K14" s="21"/>
      <c r="L14" s="23" t="s">
        <v>1175</v>
      </c>
      <c r="M14" s="21"/>
      <c r="N14" s="23" t="s">
        <v>1175</v>
      </c>
      <c r="O14" s="21"/>
      <c r="P14" s="21"/>
      <c r="Q14" s="55"/>
      <c r="R14" s="55"/>
      <c r="S14" s="55"/>
      <c r="T14" s="55"/>
      <c r="U14" s="55"/>
      <c r="V14" s="55"/>
      <c r="W14" s="55"/>
      <c r="X14" s="63"/>
      <c r="Y14" s="68"/>
      <c r="Z14" s="72"/>
      <c r="AA14" s="72"/>
      <c r="AB14" s="72"/>
      <c r="AC14" s="72"/>
      <c r="AD14" s="63"/>
      <c r="AE14" s="77"/>
      <c r="AF14" s="81"/>
      <c r="AG14" s="86"/>
    </row>
    <row r="15" spans="1:33">
      <c r="C15" s="22"/>
    </row>
  </sheetData>
  <autoFilter ref="C14:AG14" xr:uid="{22B02887-65BE-460C-9431-4E3735A20251}"/>
  <mergeCells count="34">
    <mergeCell ref="Z11:AA11"/>
    <mergeCell ref="AB11:AC11"/>
    <mergeCell ref="AD11:AF11"/>
    <mergeCell ref="A13:B13"/>
    <mergeCell ref="A14:B14"/>
    <mergeCell ref="AG11:AG12"/>
    <mergeCell ref="C10:J10"/>
    <mergeCell ref="K10:N10"/>
    <mergeCell ref="O10:P10"/>
    <mergeCell ref="Q10:V10"/>
    <mergeCell ref="X10:Y10"/>
    <mergeCell ref="Z10:AC10"/>
    <mergeCell ref="AD10:AG10"/>
    <mergeCell ref="K11:L11"/>
    <mergeCell ref="M11:N11"/>
    <mergeCell ref="O11:O13"/>
    <mergeCell ref="P11:P13"/>
    <mergeCell ref="Q11:Q12"/>
    <mergeCell ref="W10:W12"/>
    <mergeCell ref="X11:X12"/>
    <mergeCell ref="Y11:Y12"/>
    <mergeCell ref="R11:V11"/>
    <mergeCell ref="I11:I13"/>
    <mergeCell ref="J11:J13"/>
    <mergeCell ref="K12:K13"/>
    <mergeCell ref="L12:L13"/>
    <mergeCell ref="M12:M13"/>
    <mergeCell ref="N12:N13"/>
    <mergeCell ref="C11:C13"/>
    <mergeCell ref="D11:D13"/>
    <mergeCell ref="E11:E13"/>
    <mergeCell ref="F11:F13"/>
    <mergeCell ref="G11:G13"/>
    <mergeCell ref="H11:H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aster_Makro_1">
                <anchor moveWithCells="1" sizeWithCells="1">
                  <from>
                    <xdr:col>0</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3074" r:id="rId4" name="Button 2">
              <controlPr defaultSize="0" print="0" autoFill="0" autoPict="0" macro="[0]!Link_zu_datenblatt_erstellen">
                <anchor moveWithCells="1" sizeWithCells="1">
                  <from>
                    <xdr:col>8</xdr:col>
                    <xdr:colOff>28575</xdr:colOff>
                    <xdr:row>11</xdr:row>
                    <xdr:rowOff>171450</xdr:rowOff>
                  </from>
                  <to>
                    <xdr:col>8</xdr:col>
                    <xdr:colOff>790575</xdr:colOff>
                    <xdr:row>11</xdr:row>
                    <xdr:rowOff>323850</xdr:rowOff>
                  </to>
                </anchor>
              </controlPr>
            </control>
          </mc:Choice>
        </mc:AlternateContent>
        <mc:AlternateContent xmlns:mc="http://schemas.openxmlformats.org/markup-compatibility/2006">
          <mc:Choice Requires="x14">
            <control shapeId="3075" r:id="rId5" name="Button 3">
              <controlPr defaultSize="0" print="0" autoFill="0" autoPict="0" macro="[0]!Link_zu_datenblatt_loeschen">
                <anchor moveWithCells="1" sizeWithCells="1">
                  <from>
                    <xdr:col>8</xdr:col>
                    <xdr:colOff>28575</xdr:colOff>
                    <xdr:row>11</xdr:row>
                    <xdr:rowOff>323850</xdr:rowOff>
                  </from>
                  <to>
                    <xdr:col>8</xdr:col>
                    <xdr:colOff>790575</xdr:colOff>
                    <xdr:row>11</xdr:row>
                    <xdr:rowOff>476250</xdr:rowOff>
                  </to>
                </anchor>
              </controlPr>
            </control>
          </mc:Choice>
        </mc:AlternateContent>
        <mc:AlternateContent xmlns:mc="http://schemas.openxmlformats.org/markup-compatibility/2006">
          <mc:Choice Requires="x14">
            <control shapeId="3076" r:id="rId6" name="Button 4">
              <controlPr defaultSize="0" print="0" autoFill="0" autoPict="0" macro="[0]!Eingaben_Undo">
                <anchor moveWithCells="1" sizeWithCells="1">
                  <from>
                    <xdr:col>0</xdr:col>
                    <xdr:colOff>0</xdr:colOff>
                    <xdr:row>10</xdr:row>
                    <xdr:rowOff>0</xdr:rowOff>
                  </from>
                  <to>
                    <xdr:col>0</xdr:col>
                    <xdr:colOff>828675</xdr:colOff>
                    <xdr:row>11</xdr:row>
                    <xdr:rowOff>0</xdr:rowOff>
                  </to>
                </anchor>
              </controlPr>
            </control>
          </mc:Choice>
        </mc:AlternateContent>
        <mc:AlternateContent xmlns:mc="http://schemas.openxmlformats.org/markup-compatibility/2006">
          <mc:Choice Requires="x14">
            <control shapeId="3077" r:id="rId7" name="Button 5">
              <controlPr defaultSize="0" print="0" autoFill="0" autoPict="0" macro="[0]!Eingaben_Reset">
                <anchor moveWithCells="1" sizeWithCells="1">
                  <from>
                    <xdr:col>0</xdr:col>
                    <xdr:colOff>828675</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3078" r:id="rId8" name="Ausblenden_5_33_alle_plus_Gew1">
              <controlPr defaultSize="0" autoFill="0" autoLine="0" autoPict="0" macro="[0]!Eingaben_Spalten_Ausblenden">
                <anchor moveWithCells="1">
                  <from>
                    <xdr:col>0</xdr:col>
                    <xdr:colOff>114300</xdr:colOff>
                    <xdr:row>15</xdr:row>
                    <xdr:rowOff>95250</xdr:rowOff>
                  </from>
                  <to>
                    <xdr:col>1</xdr:col>
                    <xdr:colOff>114300</xdr:colOff>
                    <xdr:row>16</xdr:row>
                    <xdr:rowOff>152400</xdr:rowOff>
                  </to>
                </anchor>
              </controlPr>
            </control>
          </mc:Choice>
        </mc:AlternateContent>
        <mc:AlternateContent xmlns:mc="http://schemas.openxmlformats.org/markup-compatibility/2006">
          <mc:Choice Requires="x14">
            <control shapeId="3079" r:id="rId9" name="Ausblenden_5_10">
              <controlPr defaultSize="0" autoFill="0" autoLine="0" autoPict="0" macro="[0]!Eingaben_Spalten_Ausblenden">
                <anchor moveWithCells="1">
                  <from>
                    <xdr:col>0</xdr:col>
                    <xdr:colOff>114300</xdr:colOff>
                    <xdr:row>16</xdr:row>
                    <xdr:rowOff>142875</xdr:rowOff>
                  </from>
                  <to>
                    <xdr:col>1</xdr:col>
                    <xdr:colOff>114300</xdr:colOff>
                    <xdr:row>18</xdr:row>
                    <xdr:rowOff>47625</xdr:rowOff>
                  </to>
                </anchor>
              </controlPr>
            </control>
          </mc:Choice>
        </mc:AlternateContent>
        <mc:AlternateContent xmlns:mc="http://schemas.openxmlformats.org/markup-compatibility/2006">
          <mc:Choice Requires="x14">
            <control shapeId="3080" r:id="rId10" name="Ausblenden_11_14">
              <controlPr defaultSize="0" autoFill="0" autoLine="0" autoPict="0" macro="[0]!Eingaben_Spalten_Ausblenden">
                <anchor moveWithCells="1">
                  <from>
                    <xdr:col>0</xdr:col>
                    <xdr:colOff>114300</xdr:colOff>
                    <xdr:row>18</xdr:row>
                    <xdr:rowOff>47625</xdr:rowOff>
                  </from>
                  <to>
                    <xdr:col>1</xdr:col>
                    <xdr:colOff>114300</xdr:colOff>
                    <xdr:row>19</xdr:row>
                    <xdr:rowOff>104775</xdr:rowOff>
                  </to>
                </anchor>
              </controlPr>
            </control>
          </mc:Choice>
        </mc:AlternateContent>
        <mc:AlternateContent xmlns:mc="http://schemas.openxmlformats.org/markup-compatibility/2006">
          <mc:Choice Requires="x14">
            <control shapeId="3081" r:id="rId11" name="Ausblenden_15_16">
              <controlPr defaultSize="0" autoFill="0" autoLine="0" autoPict="0" macro="[0]!Eingaben_Spalten_Ausblenden">
                <anchor moveWithCells="1">
                  <from>
                    <xdr:col>0</xdr:col>
                    <xdr:colOff>114300</xdr:colOff>
                    <xdr:row>19</xdr:row>
                    <xdr:rowOff>95250</xdr:rowOff>
                  </from>
                  <to>
                    <xdr:col>1</xdr:col>
                    <xdr:colOff>114300</xdr:colOff>
                    <xdr:row>21</xdr:row>
                    <xdr:rowOff>0</xdr:rowOff>
                  </to>
                </anchor>
              </controlPr>
            </control>
          </mc:Choice>
        </mc:AlternateContent>
        <mc:AlternateContent xmlns:mc="http://schemas.openxmlformats.org/markup-compatibility/2006">
          <mc:Choice Requires="x14">
            <control shapeId="3082" r:id="rId12" name="Ausblenden_17_22_plus_Gew1">
              <controlPr defaultSize="0" autoFill="0" autoLine="0" autoPict="0" macro="[0]!Eingaben_Spalten_Ausblenden">
                <anchor moveWithCells="1">
                  <from>
                    <xdr:col>0</xdr:col>
                    <xdr:colOff>114300</xdr:colOff>
                    <xdr:row>21</xdr:row>
                    <xdr:rowOff>0</xdr:rowOff>
                  </from>
                  <to>
                    <xdr:col>1</xdr:col>
                    <xdr:colOff>114300</xdr:colOff>
                    <xdr:row>22</xdr:row>
                    <xdr:rowOff>57150</xdr:rowOff>
                  </to>
                </anchor>
              </controlPr>
            </control>
          </mc:Choice>
        </mc:AlternateContent>
        <mc:AlternateContent xmlns:mc="http://schemas.openxmlformats.org/markup-compatibility/2006">
          <mc:Choice Requires="x14">
            <control shapeId="3083" r:id="rId13" name="Ausblenden_23_23_plus_Gew2">
              <controlPr defaultSize="0" autoFill="0" autoLine="0" autoPict="0" macro="[0]!Eingaben_Spalten_Ausblenden">
                <anchor moveWithCells="1">
                  <from>
                    <xdr:col>0</xdr:col>
                    <xdr:colOff>114300</xdr:colOff>
                    <xdr:row>22</xdr:row>
                    <xdr:rowOff>57150</xdr:rowOff>
                  </from>
                  <to>
                    <xdr:col>1</xdr:col>
                    <xdr:colOff>114300</xdr:colOff>
                    <xdr:row>23</xdr:row>
                    <xdr:rowOff>114300</xdr:rowOff>
                  </to>
                </anchor>
              </controlPr>
            </control>
          </mc:Choice>
        </mc:AlternateContent>
        <mc:AlternateContent xmlns:mc="http://schemas.openxmlformats.org/markup-compatibility/2006">
          <mc:Choice Requires="x14">
            <control shapeId="3084" r:id="rId14" name="Ausblenden_24_25_plus_Gew2">
              <controlPr defaultSize="0" autoFill="0" autoLine="0" autoPict="0" macro="[0]!Eingaben_Spalten_Ausblenden">
                <anchor moveWithCells="1">
                  <from>
                    <xdr:col>0</xdr:col>
                    <xdr:colOff>114300</xdr:colOff>
                    <xdr:row>23</xdr:row>
                    <xdr:rowOff>104775</xdr:rowOff>
                  </from>
                  <to>
                    <xdr:col>1</xdr:col>
                    <xdr:colOff>114300</xdr:colOff>
                    <xdr:row>25</xdr:row>
                    <xdr:rowOff>9525</xdr:rowOff>
                  </to>
                </anchor>
              </controlPr>
            </control>
          </mc:Choice>
        </mc:AlternateContent>
        <mc:AlternateContent xmlns:mc="http://schemas.openxmlformats.org/markup-compatibility/2006">
          <mc:Choice Requires="x14">
            <control shapeId="3085" r:id="rId15" name="Ausblenden_26_29_plus_Gew2">
              <controlPr defaultSize="0" autoFill="0" autoLine="0" autoPict="0" macro="[0]!Eingaben_Spalten_Ausblenden">
                <anchor moveWithCells="1">
                  <from>
                    <xdr:col>0</xdr:col>
                    <xdr:colOff>114300</xdr:colOff>
                    <xdr:row>25</xdr:row>
                    <xdr:rowOff>9525</xdr:rowOff>
                  </from>
                  <to>
                    <xdr:col>1</xdr:col>
                    <xdr:colOff>114300</xdr:colOff>
                    <xdr:row>26</xdr:row>
                    <xdr:rowOff>66675</xdr:rowOff>
                  </to>
                </anchor>
              </controlPr>
            </control>
          </mc:Choice>
        </mc:AlternateContent>
        <mc:AlternateContent xmlns:mc="http://schemas.openxmlformats.org/markup-compatibility/2006">
          <mc:Choice Requires="x14">
            <control shapeId="3086" r:id="rId16" name="Ausblenden_30_33_plus_Gew2">
              <controlPr defaultSize="0" autoFill="0" autoLine="0" autoPict="0" macro="[0]!Eingaben_Spalten_Ausblenden">
                <anchor moveWithCells="1">
                  <from>
                    <xdr:col>0</xdr:col>
                    <xdr:colOff>114300</xdr:colOff>
                    <xdr:row>26</xdr:row>
                    <xdr:rowOff>57150</xdr:rowOff>
                  </from>
                  <to>
                    <xdr:col>1</xdr:col>
                    <xdr:colOff>114300</xdr:colOff>
                    <xdr:row>27</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030D9-AE2C-4E83-8CD7-A0C10EF2E3A1}">
  <sheetPr codeName="Sheet5"/>
  <dimension ref="C1:X31"/>
  <sheetViews>
    <sheetView topLeftCell="A7" workbookViewId="0">
      <pane xSplit="6" ySplit="5" topLeftCell="G12" activePane="bottomRight" state="frozen"/>
      <selection activeCell="A7" sqref="A7"/>
      <selection pane="topRight" activeCell="G7" sqref="G7"/>
      <selection pane="bottomLeft" activeCell="A12" sqref="A12"/>
      <selection pane="bottomRight" activeCell="G12" sqref="G12"/>
    </sheetView>
  </sheetViews>
  <sheetFormatPr defaultRowHeight="12"/>
  <cols>
    <col min="1" max="4" width="9.140625" style="8"/>
    <col min="5" max="5" width="7.7109375" style="8" customWidth="1"/>
    <col min="6" max="6" width="14.7109375" style="8" customWidth="1"/>
    <col min="7" max="7" width="20.7109375" style="8" customWidth="1"/>
    <col min="8" max="8" width="8.85546875" style="8" customWidth="1"/>
    <col min="9" max="9" width="10.85546875" style="8" customWidth="1"/>
    <col min="10" max="10" width="6.5703125" style="8" customWidth="1"/>
    <col min="11" max="11" width="18.7109375" style="8" customWidth="1"/>
    <col min="12" max="12" width="12.85546875" style="8" customWidth="1"/>
    <col min="13" max="13" width="12.7109375" style="8" customWidth="1"/>
    <col min="14" max="15" width="15.7109375" style="8" customWidth="1"/>
    <col min="16" max="17" width="9.7109375" style="8" customWidth="1"/>
    <col min="18" max="21" width="10.28515625" style="8" customWidth="1"/>
    <col min="22" max="24" width="9.140625" style="8" customWidth="1"/>
    <col min="25" max="16384" width="9.140625" style="8"/>
  </cols>
  <sheetData>
    <row r="1" spans="3:24" hidden="1"/>
    <row r="2" spans="3:24" hidden="1"/>
    <row r="3" spans="3:24" hidden="1"/>
    <row r="4" spans="3:24" hidden="1"/>
    <row r="5" spans="3:24" hidden="1"/>
    <row r="6" spans="3:24" hidden="1"/>
    <row r="7" spans="3:24">
      <c r="D7" s="42" t="s">
        <v>1073</v>
      </c>
      <c r="E7" s="43" t="s">
        <v>1421</v>
      </c>
      <c r="F7" s="10" t="s">
        <v>226</v>
      </c>
      <c r="G7" s="11"/>
      <c r="H7" s="11"/>
      <c r="I7" s="11"/>
      <c r="J7" s="11"/>
      <c r="K7" s="12"/>
      <c r="L7" s="10" t="s">
        <v>262</v>
      </c>
      <c r="M7" s="12"/>
      <c r="N7" s="10" t="s">
        <v>240</v>
      </c>
      <c r="O7" s="12"/>
      <c r="P7" s="10" t="s">
        <v>291</v>
      </c>
      <c r="Q7" s="12"/>
      <c r="R7" s="10" t="s">
        <v>295</v>
      </c>
      <c r="S7" s="11"/>
      <c r="T7" s="11"/>
      <c r="U7" s="12"/>
      <c r="V7" s="10" t="s">
        <v>8</v>
      </c>
      <c r="W7" s="11"/>
      <c r="X7" s="12"/>
    </row>
    <row r="8" spans="3:24" ht="24">
      <c r="D8" s="42"/>
      <c r="E8" s="42"/>
      <c r="F8" s="13" t="s">
        <v>227</v>
      </c>
      <c r="G8" s="13" t="s">
        <v>237</v>
      </c>
      <c r="H8" s="13" t="s">
        <v>242</v>
      </c>
      <c r="I8" s="13" t="s">
        <v>1246</v>
      </c>
      <c r="J8" s="13" t="s">
        <v>1247</v>
      </c>
      <c r="K8" s="13" t="s">
        <v>1250</v>
      </c>
      <c r="L8" s="21" t="s">
        <v>263</v>
      </c>
      <c r="M8" s="21" t="s">
        <v>268</v>
      </c>
      <c r="N8" s="13" t="s">
        <v>273</v>
      </c>
      <c r="O8" s="13" t="s">
        <v>275</v>
      </c>
      <c r="P8" s="13" t="s">
        <v>1263</v>
      </c>
      <c r="Q8" s="13" t="s">
        <v>1266</v>
      </c>
      <c r="R8" s="14" t="s">
        <v>296</v>
      </c>
      <c r="S8" s="15"/>
      <c r="T8" s="14" t="s">
        <v>298</v>
      </c>
      <c r="U8" s="15"/>
      <c r="V8" s="14" t="s">
        <v>301</v>
      </c>
      <c r="W8" s="16"/>
      <c r="X8" s="15"/>
    </row>
    <row r="9" spans="3:24" ht="48">
      <c r="D9" s="42"/>
      <c r="E9" s="42"/>
      <c r="F9" s="17"/>
      <c r="G9" s="17"/>
      <c r="H9" s="17"/>
      <c r="I9" s="17"/>
      <c r="J9" s="17"/>
      <c r="K9" s="17"/>
      <c r="L9" s="13" t="s">
        <v>1254</v>
      </c>
      <c r="M9" s="13" t="s">
        <v>1258</v>
      </c>
      <c r="N9" s="17"/>
      <c r="O9" s="17"/>
      <c r="P9" s="17"/>
      <c r="Q9" s="17"/>
      <c r="R9" s="18" t="s">
        <v>1268</v>
      </c>
      <c r="S9" s="18" t="s">
        <v>1271</v>
      </c>
      <c r="T9" s="18" t="s">
        <v>1268</v>
      </c>
      <c r="U9" s="18" t="s">
        <v>1271</v>
      </c>
      <c r="V9" s="18" t="s">
        <v>1280</v>
      </c>
      <c r="W9" s="18" t="s">
        <v>1285</v>
      </c>
      <c r="X9" s="18" t="s">
        <v>1282</v>
      </c>
    </row>
    <row r="10" spans="3:24">
      <c r="D10" s="42"/>
      <c r="E10" s="42"/>
      <c r="F10" s="19"/>
      <c r="G10" s="19"/>
      <c r="H10" s="19"/>
      <c r="I10" s="19"/>
      <c r="J10" s="19"/>
      <c r="K10" s="19"/>
      <c r="L10" s="19"/>
      <c r="M10" s="19"/>
      <c r="N10" s="19"/>
      <c r="O10" s="19"/>
      <c r="P10" s="20" t="s">
        <v>292</v>
      </c>
      <c r="Q10" s="20" t="s">
        <v>278</v>
      </c>
      <c r="R10" s="20" t="s">
        <v>292</v>
      </c>
      <c r="S10" s="20" t="s">
        <v>292</v>
      </c>
      <c r="T10" s="20" t="s">
        <v>292</v>
      </c>
      <c r="U10" s="20" t="s">
        <v>292</v>
      </c>
      <c r="V10" s="20" t="s">
        <v>292</v>
      </c>
      <c r="W10" s="20" t="s">
        <v>302</v>
      </c>
      <c r="X10" s="20" t="s">
        <v>303</v>
      </c>
    </row>
    <row r="11" spans="3:24">
      <c r="D11" s="44" t="s">
        <v>1422</v>
      </c>
      <c r="E11" s="44" t="s">
        <v>1423</v>
      </c>
      <c r="F11" s="44" t="s">
        <v>1424</v>
      </c>
      <c r="G11" s="44" t="s">
        <v>1425</v>
      </c>
      <c r="H11" s="44" t="s">
        <v>1426</v>
      </c>
      <c r="I11" s="44" t="s">
        <v>1427</v>
      </c>
      <c r="J11" s="44" t="s">
        <v>1428</v>
      </c>
      <c r="K11" s="44" t="s">
        <v>1429</v>
      </c>
      <c r="L11" s="44" t="s">
        <v>1430</v>
      </c>
      <c r="M11" s="44" t="s">
        <v>1431</v>
      </c>
      <c r="N11" s="44" t="s">
        <v>1432</v>
      </c>
      <c r="O11" s="44" t="s">
        <v>1433</v>
      </c>
      <c r="P11" s="44" t="s">
        <v>1406</v>
      </c>
      <c r="Q11" s="44" t="s">
        <v>1408</v>
      </c>
      <c r="R11" s="44" t="s">
        <v>1410</v>
      </c>
      <c r="S11" s="44" t="s">
        <v>1412</v>
      </c>
      <c r="T11" s="44" t="s">
        <v>1414</v>
      </c>
      <c r="U11" s="44" t="s">
        <v>1415</v>
      </c>
      <c r="V11" s="44" t="s">
        <v>1416</v>
      </c>
      <c r="W11" s="44" t="s">
        <v>1417</v>
      </c>
      <c r="X11" s="44" t="s">
        <v>1419</v>
      </c>
    </row>
    <row r="12" spans="3:24">
      <c r="C12" s="8">
        <f>D12+D13</f>
        <v>0</v>
      </c>
      <c r="D12" s="45"/>
      <c r="E12" s="45"/>
      <c r="F12" s="45" t="s">
        <v>1341</v>
      </c>
      <c r="G12" s="45" t="s">
        <v>1342</v>
      </c>
      <c r="H12" s="45"/>
      <c r="I12" s="45"/>
      <c r="J12" s="45"/>
      <c r="K12" s="45"/>
      <c r="L12" s="45"/>
      <c r="M12" s="45"/>
      <c r="N12" s="45" t="s">
        <v>12</v>
      </c>
      <c r="O12" s="45" t="s">
        <v>14</v>
      </c>
      <c r="P12" s="45"/>
      <c r="Q12" s="45"/>
      <c r="R12" s="45">
        <v>0</v>
      </c>
      <c r="S12" s="45"/>
      <c r="T12" s="45"/>
      <c r="U12" s="45"/>
      <c r="V12" s="45"/>
      <c r="W12" s="45"/>
      <c r="X12" s="45"/>
    </row>
    <row r="13" spans="3:24">
      <c r="D13" s="45"/>
      <c r="E13" s="45"/>
      <c r="F13" s="45" t="s">
        <v>1343</v>
      </c>
      <c r="G13" s="45" t="s">
        <v>1344</v>
      </c>
      <c r="H13" s="45"/>
      <c r="I13" s="45"/>
      <c r="J13" s="45"/>
      <c r="K13" s="45"/>
      <c r="L13" s="45"/>
      <c r="M13" s="45"/>
      <c r="N13" s="45" t="s">
        <v>24</v>
      </c>
      <c r="O13" s="45" t="s">
        <v>25</v>
      </c>
      <c r="P13" s="45"/>
      <c r="Q13" s="45"/>
      <c r="R13" s="45">
        <v>0</v>
      </c>
      <c r="S13" s="45"/>
      <c r="T13" s="45"/>
      <c r="U13" s="45"/>
      <c r="V13" s="45"/>
      <c r="W13" s="45"/>
      <c r="X13" s="45"/>
    </row>
    <row r="14" spans="3:24">
      <c r="D14" s="45"/>
      <c r="E14" s="45"/>
      <c r="F14" s="45" t="s">
        <v>1345</v>
      </c>
      <c r="G14" s="45" t="s">
        <v>1346</v>
      </c>
      <c r="H14" s="45" t="s">
        <v>1347</v>
      </c>
      <c r="I14" s="45" t="s">
        <v>1348</v>
      </c>
      <c r="J14" s="45" t="s">
        <v>1348</v>
      </c>
      <c r="K14" s="45" t="s">
        <v>16</v>
      </c>
      <c r="L14" s="45" t="s">
        <v>14</v>
      </c>
      <c r="M14" s="45" t="s">
        <v>13</v>
      </c>
      <c r="N14" s="45" t="s">
        <v>12</v>
      </c>
      <c r="O14" s="45" t="s">
        <v>16</v>
      </c>
      <c r="P14" s="45">
        <v>10</v>
      </c>
      <c r="Q14" s="45">
        <v>0.8</v>
      </c>
      <c r="R14" s="45">
        <v>1</v>
      </c>
      <c r="S14" s="45"/>
      <c r="T14" s="45">
        <v>1</v>
      </c>
      <c r="U14" s="45"/>
      <c r="V14" s="45"/>
      <c r="W14" s="45"/>
      <c r="X14" s="45"/>
    </row>
    <row r="15" spans="3:24">
      <c r="D15" s="45"/>
      <c r="E15" s="45"/>
      <c r="F15" s="45" t="s">
        <v>1349</v>
      </c>
      <c r="G15" s="45" t="s">
        <v>1346</v>
      </c>
      <c r="H15" s="45" t="s">
        <v>1347</v>
      </c>
      <c r="I15" s="45" t="s">
        <v>1348</v>
      </c>
      <c r="J15" s="45" t="s">
        <v>1348</v>
      </c>
      <c r="K15" s="45" t="s">
        <v>16</v>
      </c>
      <c r="L15" s="45" t="s">
        <v>14</v>
      </c>
      <c r="M15" s="45" t="s">
        <v>13</v>
      </c>
      <c r="N15" s="45" t="s">
        <v>12</v>
      </c>
      <c r="O15" s="45" t="s">
        <v>16</v>
      </c>
      <c r="P15" s="45">
        <v>25</v>
      </c>
      <c r="Q15" s="45">
        <v>0.8</v>
      </c>
      <c r="R15" s="45">
        <v>1.2</v>
      </c>
      <c r="S15" s="45"/>
      <c r="T15" s="45">
        <v>1.2</v>
      </c>
      <c r="U15" s="45"/>
      <c r="V15" s="45"/>
      <c r="W15" s="45"/>
      <c r="X15" s="45"/>
    </row>
    <row r="16" spans="3:24">
      <c r="D16" s="45"/>
      <c r="E16" s="45"/>
      <c r="F16" s="45" t="s">
        <v>1350</v>
      </c>
      <c r="G16" s="45" t="s">
        <v>1346</v>
      </c>
      <c r="H16" s="45" t="s">
        <v>1347</v>
      </c>
      <c r="I16" s="45" t="s">
        <v>1348</v>
      </c>
      <c r="J16" s="45" t="s">
        <v>1348</v>
      </c>
      <c r="K16" s="45" t="s">
        <v>1351</v>
      </c>
      <c r="L16" s="45" t="s">
        <v>14</v>
      </c>
      <c r="M16" s="45" t="s">
        <v>13</v>
      </c>
      <c r="N16" s="45" t="s">
        <v>12</v>
      </c>
      <c r="O16" s="45" t="s">
        <v>13</v>
      </c>
      <c r="P16" s="45">
        <v>10</v>
      </c>
      <c r="Q16" s="45">
        <v>0.8</v>
      </c>
      <c r="R16" s="45">
        <v>1.1000000000000001</v>
      </c>
      <c r="S16" s="45"/>
      <c r="T16" s="45">
        <v>1.1000000000000001</v>
      </c>
      <c r="U16" s="45"/>
      <c r="V16" s="45"/>
      <c r="W16" s="45"/>
      <c r="X16" s="45"/>
    </row>
    <row r="17" spans="4:24">
      <c r="D17" s="45"/>
      <c r="E17" s="45"/>
      <c r="F17" s="45" t="s">
        <v>1352</v>
      </c>
      <c r="G17" s="45" t="s">
        <v>1353</v>
      </c>
      <c r="H17" s="45" t="s">
        <v>1354</v>
      </c>
      <c r="I17" s="45" t="s">
        <v>1355</v>
      </c>
      <c r="J17" s="45" t="s">
        <v>1356</v>
      </c>
      <c r="K17" s="45" t="s">
        <v>17</v>
      </c>
      <c r="L17" s="45" t="s">
        <v>14</v>
      </c>
      <c r="M17" s="45" t="s">
        <v>13</v>
      </c>
      <c r="N17" s="45" t="s">
        <v>12</v>
      </c>
      <c r="O17" s="45" t="s">
        <v>17</v>
      </c>
      <c r="P17" s="45">
        <v>18</v>
      </c>
      <c r="Q17" s="45">
        <v>0.9</v>
      </c>
      <c r="R17" s="45">
        <v>0.1</v>
      </c>
      <c r="S17" s="45"/>
      <c r="T17" s="45" t="s">
        <v>13</v>
      </c>
      <c r="U17" s="45"/>
      <c r="V17" s="45"/>
      <c r="W17" s="45"/>
      <c r="X17" s="45"/>
    </row>
    <row r="18" spans="4:24">
      <c r="D18" s="45"/>
      <c r="E18" s="45"/>
      <c r="F18" s="45" t="s">
        <v>1357</v>
      </c>
      <c r="G18" s="45" t="s">
        <v>1358</v>
      </c>
      <c r="H18" s="45" t="s">
        <v>1347</v>
      </c>
      <c r="I18" s="45" t="s">
        <v>1348</v>
      </c>
      <c r="J18" s="45" t="s">
        <v>1348</v>
      </c>
      <c r="K18" s="45" t="s">
        <v>1359</v>
      </c>
      <c r="L18" s="45" t="s">
        <v>14</v>
      </c>
      <c r="M18" s="45" t="s">
        <v>13</v>
      </c>
      <c r="N18" s="45" t="s">
        <v>12</v>
      </c>
      <c r="O18" s="45" t="s">
        <v>22</v>
      </c>
      <c r="P18" s="45">
        <v>20</v>
      </c>
      <c r="Q18" s="46">
        <v>0.8</v>
      </c>
      <c r="R18" s="45">
        <v>1.4</v>
      </c>
      <c r="S18" s="45" t="s">
        <v>13</v>
      </c>
      <c r="T18" s="45" t="s">
        <v>13</v>
      </c>
      <c r="U18" s="45" t="s">
        <v>13</v>
      </c>
      <c r="V18" s="45"/>
      <c r="W18" s="45"/>
      <c r="X18" s="45"/>
    </row>
    <row r="19" spans="4:24">
      <c r="D19" s="45"/>
      <c r="E19" s="45"/>
      <c r="F19" s="45" t="s">
        <v>1360</v>
      </c>
      <c r="G19" s="45" t="s">
        <v>1361</v>
      </c>
      <c r="H19" s="45" t="s">
        <v>1354</v>
      </c>
      <c r="I19" s="45" t="s">
        <v>1362</v>
      </c>
      <c r="J19" s="45"/>
      <c r="K19" s="45" t="s">
        <v>13</v>
      </c>
      <c r="L19" s="45" t="s">
        <v>1363</v>
      </c>
      <c r="M19" s="45" t="s">
        <v>1364</v>
      </c>
      <c r="N19" s="45" t="s">
        <v>44</v>
      </c>
      <c r="O19" s="45" t="s">
        <v>59</v>
      </c>
      <c r="P19" s="45"/>
      <c r="Q19" s="45"/>
      <c r="R19" s="45">
        <v>0</v>
      </c>
      <c r="S19" s="45" t="s">
        <v>1365</v>
      </c>
      <c r="T19" s="45" t="s">
        <v>13</v>
      </c>
      <c r="U19" s="45"/>
      <c r="V19" s="45"/>
      <c r="W19" s="45"/>
      <c r="X19" s="45"/>
    </row>
    <row r="20" spans="4:24">
      <c r="D20" s="45"/>
      <c r="E20" s="45"/>
      <c r="F20" s="45" t="s">
        <v>1366</v>
      </c>
      <c r="G20" s="45" t="s">
        <v>1367</v>
      </c>
      <c r="H20" s="45" t="s">
        <v>1354</v>
      </c>
      <c r="I20" s="45" t="s">
        <v>1368</v>
      </c>
      <c r="J20" s="45" t="s">
        <v>1356</v>
      </c>
      <c r="K20" s="45"/>
      <c r="L20" s="45" t="s">
        <v>1351</v>
      </c>
      <c r="M20" s="45" t="s">
        <v>1369</v>
      </c>
      <c r="N20" s="45" t="s">
        <v>44</v>
      </c>
      <c r="O20" s="45" t="s">
        <v>59</v>
      </c>
      <c r="P20" s="45"/>
      <c r="Q20" s="45"/>
      <c r="R20" s="45">
        <v>2.88</v>
      </c>
      <c r="S20" s="45">
        <v>0.05</v>
      </c>
      <c r="T20" s="45" t="s">
        <v>13</v>
      </c>
      <c r="U20" s="45" t="s">
        <v>13</v>
      </c>
      <c r="V20" s="45"/>
      <c r="W20" s="45"/>
      <c r="X20" s="45"/>
    </row>
    <row r="21" spans="4:24">
      <c r="D21" s="45"/>
      <c r="E21" s="45"/>
      <c r="F21" s="45" t="s">
        <v>1370</v>
      </c>
      <c r="G21" s="45" t="s">
        <v>1371</v>
      </c>
      <c r="H21" s="45" t="s">
        <v>1354</v>
      </c>
      <c r="I21" s="45" t="s">
        <v>1372</v>
      </c>
      <c r="J21" s="45" t="s">
        <v>1356</v>
      </c>
      <c r="K21" s="45" t="s">
        <v>1363</v>
      </c>
      <c r="L21" s="45" t="s">
        <v>17</v>
      </c>
      <c r="M21" s="45" t="s">
        <v>1351</v>
      </c>
      <c r="N21" s="45" t="s">
        <v>44</v>
      </c>
      <c r="O21" s="45" t="s">
        <v>51</v>
      </c>
      <c r="P21" s="45"/>
      <c r="Q21" s="45"/>
      <c r="R21" s="45">
        <v>6</v>
      </c>
      <c r="S21" s="45">
        <v>1.6279999999999999</v>
      </c>
      <c r="T21" s="45" t="s">
        <v>13</v>
      </c>
      <c r="U21" s="45" t="s">
        <v>13</v>
      </c>
      <c r="V21" s="45"/>
      <c r="W21" s="45"/>
      <c r="X21" s="45"/>
    </row>
    <row r="22" spans="4:24">
      <c r="D22" s="45"/>
      <c r="E22" s="45"/>
      <c r="F22" s="45" t="s">
        <v>1373</v>
      </c>
      <c r="G22" s="45" t="s">
        <v>1374</v>
      </c>
      <c r="H22" s="47" t="s">
        <v>1354</v>
      </c>
      <c r="I22" s="45" t="s">
        <v>1375</v>
      </c>
      <c r="J22" s="47" t="s">
        <v>1356</v>
      </c>
      <c r="K22" s="47" t="s">
        <v>1363</v>
      </c>
      <c r="L22" s="47" t="s">
        <v>17</v>
      </c>
      <c r="M22" s="45" t="s">
        <v>13</v>
      </c>
      <c r="N22" s="47" t="s">
        <v>44</v>
      </c>
      <c r="O22" s="47" t="s">
        <v>51</v>
      </c>
      <c r="P22" s="47"/>
      <c r="Q22" s="47"/>
      <c r="R22" s="47">
        <v>6</v>
      </c>
      <c r="S22" s="45" t="s">
        <v>13</v>
      </c>
      <c r="T22" s="47" t="s">
        <v>13</v>
      </c>
      <c r="U22" s="47" t="s">
        <v>13</v>
      </c>
      <c r="V22" s="47"/>
      <c r="W22" s="47"/>
      <c r="X22" s="47"/>
    </row>
    <row r="23" spans="4:24">
      <c r="D23" s="45"/>
      <c r="E23" s="45"/>
      <c r="F23" s="45" t="s">
        <v>1376</v>
      </c>
      <c r="G23" s="45" t="s">
        <v>1377</v>
      </c>
      <c r="H23" s="45" t="s">
        <v>1354</v>
      </c>
      <c r="I23" s="45" t="s">
        <v>1378</v>
      </c>
      <c r="J23" s="45" t="s">
        <v>1356</v>
      </c>
      <c r="K23" s="45" t="s">
        <v>14</v>
      </c>
      <c r="L23" s="45" t="s">
        <v>14</v>
      </c>
      <c r="M23" s="45" t="s">
        <v>1369</v>
      </c>
      <c r="N23" s="45" t="s">
        <v>60</v>
      </c>
      <c r="O23" s="45" t="s">
        <v>63</v>
      </c>
      <c r="P23" s="45"/>
      <c r="Q23" s="45"/>
      <c r="R23" s="45">
        <v>5</v>
      </c>
      <c r="S23" s="45">
        <v>0.1</v>
      </c>
      <c r="T23" s="45">
        <v>0.05</v>
      </c>
      <c r="U23" s="45">
        <v>0.05</v>
      </c>
      <c r="V23" s="45"/>
      <c r="W23" s="45"/>
      <c r="X23" s="45"/>
    </row>
    <row r="24" spans="4:24">
      <c r="D24" s="45"/>
      <c r="E24" s="45"/>
      <c r="F24" s="45" t="s">
        <v>1379</v>
      </c>
      <c r="G24" s="45" t="s">
        <v>1358</v>
      </c>
      <c r="H24" s="45" t="s">
        <v>1354</v>
      </c>
      <c r="I24" s="45" t="s">
        <v>1380</v>
      </c>
      <c r="J24" s="45" t="s">
        <v>1356</v>
      </c>
      <c r="K24" s="45" t="s">
        <v>1359</v>
      </c>
      <c r="L24" s="45" t="s">
        <v>14</v>
      </c>
      <c r="M24" s="45" t="s">
        <v>13</v>
      </c>
      <c r="N24" s="45" t="s">
        <v>12</v>
      </c>
      <c r="O24" s="45" t="s">
        <v>22</v>
      </c>
      <c r="P24" s="45">
        <v>18.559999999999999</v>
      </c>
      <c r="Q24" s="46">
        <v>0.82</v>
      </c>
      <c r="R24" s="45">
        <v>1.2</v>
      </c>
      <c r="S24" s="45" t="s">
        <v>13</v>
      </c>
      <c r="T24" s="45" t="s">
        <v>13</v>
      </c>
      <c r="U24" s="45" t="s">
        <v>13</v>
      </c>
      <c r="V24" s="45"/>
      <c r="W24" s="45"/>
      <c r="X24" s="45"/>
    </row>
    <row r="25" spans="4:24">
      <c r="D25" s="45"/>
      <c r="E25" s="45"/>
      <c r="F25" s="45" t="s">
        <v>1381</v>
      </c>
      <c r="G25" s="45" t="s">
        <v>1382</v>
      </c>
      <c r="H25" s="45" t="s">
        <v>1347</v>
      </c>
      <c r="I25" s="45" t="s">
        <v>1383</v>
      </c>
      <c r="J25" s="45"/>
      <c r="K25" s="45" t="s">
        <v>13</v>
      </c>
      <c r="L25" s="45" t="s">
        <v>14</v>
      </c>
      <c r="M25" s="45" t="s">
        <v>13</v>
      </c>
      <c r="N25" s="45" t="s">
        <v>60</v>
      </c>
      <c r="O25" s="45" t="s">
        <v>64</v>
      </c>
      <c r="P25" s="45"/>
      <c r="Q25" s="45"/>
      <c r="R25" s="45">
        <v>460</v>
      </c>
      <c r="S25" s="45" t="s">
        <v>13</v>
      </c>
      <c r="T25" s="45">
        <v>0</v>
      </c>
      <c r="U25" s="45" t="s">
        <v>13</v>
      </c>
      <c r="V25" s="45"/>
      <c r="W25" s="45"/>
      <c r="X25" s="45"/>
    </row>
    <row r="26" spans="4:24">
      <c r="D26" s="45"/>
      <c r="E26" s="45"/>
      <c r="F26" s="45" t="s">
        <v>1384</v>
      </c>
      <c r="G26" s="45" t="s">
        <v>1385</v>
      </c>
      <c r="H26" s="45" t="s">
        <v>1386</v>
      </c>
      <c r="I26" s="45" t="s">
        <v>1387</v>
      </c>
      <c r="J26" s="45"/>
      <c r="K26" s="45"/>
      <c r="L26" s="45" t="s">
        <v>21</v>
      </c>
      <c r="M26" s="45" t="s">
        <v>13</v>
      </c>
      <c r="N26" s="45" t="s">
        <v>86</v>
      </c>
      <c r="O26" s="45" t="s">
        <v>76</v>
      </c>
      <c r="P26" s="45"/>
      <c r="Q26" s="45"/>
      <c r="R26" s="45"/>
      <c r="S26" s="45" t="s">
        <v>13</v>
      </c>
      <c r="T26" s="45">
        <v>0</v>
      </c>
      <c r="U26" s="45" t="s">
        <v>13</v>
      </c>
      <c r="V26" s="45">
        <v>14.96</v>
      </c>
      <c r="W26" s="45">
        <v>1870</v>
      </c>
      <c r="X26" s="45"/>
    </row>
    <row r="27" spans="4:24">
      <c r="D27" s="45"/>
      <c r="E27" s="45"/>
      <c r="F27" s="45" t="s">
        <v>1388</v>
      </c>
      <c r="G27" s="45" t="s">
        <v>1389</v>
      </c>
      <c r="H27" s="45" t="s">
        <v>1386</v>
      </c>
      <c r="I27" s="45" t="s">
        <v>1390</v>
      </c>
      <c r="J27" s="45"/>
      <c r="K27" s="45"/>
      <c r="L27" s="45" t="s">
        <v>14</v>
      </c>
      <c r="M27" s="45" t="s">
        <v>1391</v>
      </c>
      <c r="N27" s="45" t="s">
        <v>79</v>
      </c>
      <c r="O27" s="45" t="s">
        <v>80</v>
      </c>
      <c r="P27" s="45">
        <v>20</v>
      </c>
      <c r="Q27" s="46">
        <v>0.93</v>
      </c>
      <c r="R27" s="45">
        <v>0.1</v>
      </c>
      <c r="S27" s="45">
        <v>0.05</v>
      </c>
      <c r="T27" s="45">
        <v>0.1</v>
      </c>
      <c r="U27" s="45">
        <v>0.05</v>
      </c>
      <c r="V27" s="45" t="s">
        <v>13</v>
      </c>
      <c r="W27" s="45" t="s">
        <v>13</v>
      </c>
      <c r="X27" s="45" t="s">
        <v>13</v>
      </c>
    </row>
    <row r="28" spans="4:24">
      <c r="D28" s="45"/>
      <c r="E28" s="45"/>
      <c r="F28" s="45" t="s">
        <v>1392</v>
      </c>
      <c r="G28" s="45" t="s">
        <v>1393</v>
      </c>
      <c r="H28" s="45" t="s">
        <v>1386</v>
      </c>
      <c r="I28" s="45" t="s">
        <v>1394</v>
      </c>
      <c r="J28" s="45"/>
      <c r="K28" s="45"/>
      <c r="L28" s="45" t="s">
        <v>14</v>
      </c>
      <c r="M28" s="45" t="s">
        <v>1391</v>
      </c>
      <c r="N28" s="45" t="s">
        <v>75</v>
      </c>
      <c r="O28" s="45" t="s">
        <v>76</v>
      </c>
      <c r="P28" s="45"/>
      <c r="Q28" s="45"/>
      <c r="R28" s="45"/>
      <c r="S28" s="45">
        <v>0.05</v>
      </c>
      <c r="T28" s="45">
        <v>0.1</v>
      </c>
      <c r="U28" s="45">
        <v>0.05</v>
      </c>
      <c r="V28" s="45">
        <v>14.96</v>
      </c>
      <c r="W28" s="45">
        <v>1870</v>
      </c>
      <c r="X28" s="45">
        <v>125</v>
      </c>
    </row>
    <row r="29" spans="4:24">
      <c r="D29" s="45"/>
      <c r="E29" s="45"/>
      <c r="F29" s="45" t="s">
        <v>1395</v>
      </c>
      <c r="G29" s="45" t="s">
        <v>1396</v>
      </c>
      <c r="H29" s="45" t="s">
        <v>1386</v>
      </c>
      <c r="I29" s="45" t="s">
        <v>1397</v>
      </c>
      <c r="J29" s="45"/>
      <c r="K29" s="45"/>
      <c r="L29" s="45" t="s">
        <v>14</v>
      </c>
      <c r="M29" s="45" t="s">
        <v>13</v>
      </c>
      <c r="N29" s="45" t="s">
        <v>75</v>
      </c>
      <c r="O29" s="45" t="s">
        <v>76</v>
      </c>
      <c r="P29" s="45"/>
      <c r="Q29" s="45"/>
      <c r="R29" s="45"/>
      <c r="S29" s="45" t="s">
        <v>13</v>
      </c>
      <c r="T29" s="45">
        <v>0.5</v>
      </c>
      <c r="U29" s="45" t="s">
        <v>13</v>
      </c>
      <c r="V29" s="45">
        <v>17.940000000000001</v>
      </c>
      <c r="W29" s="45">
        <v>2000</v>
      </c>
      <c r="X29" s="45"/>
    </row>
    <row r="30" spans="4:24">
      <c r="D30" s="45"/>
      <c r="E30" s="45"/>
      <c r="F30" s="45" t="s">
        <v>1398</v>
      </c>
      <c r="G30" s="45" t="s">
        <v>1399</v>
      </c>
      <c r="H30" s="45" t="s">
        <v>1386</v>
      </c>
      <c r="I30" s="45" t="s">
        <v>1397</v>
      </c>
      <c r="J30" s="45"/>
      <c r="K30" s="45"/>
      <c r="L30" s="45" t="s">
        <v>14</v>
      </c>
      <c r="M30" s="45" t="s">
        <v>1391</v>
      </c>
      <c r="N30" s="45" t="s">
        <v>75</v>
      </c>
      <c r="O30" s="45" t="s">
        <v>76</v>
      </c>
      <c r="P30" s="45"/>
      <c r="Q30" s="45"/>
      <c r="R30" s="45"/>
      <c r="S30" s="45">
        <v>0.05</v>
      </c>
      <c r="T30" s="45">
        <v>0.5</v>
      </c>
      <c r="U30" s="45">
        <v>0.05</v>
      </c>
      <c r="V30" s="45"/>
      <c r="W30" s="45">
        <v>2000</v>
      </c>
      <c r="X30" s="45">
        <v>111.5</v>
      </c>
    </row>
    <row r="31" spans="4:24">
      <c r="D31" s="45"/>
      <c r="E31" s="45"/>
      <c r="F31" s="45" t="s">
        <v>1400</v>
      </c>
      <c r="G31" s="44" t="s">
        <v>1399</v>
      </c>
      <c r="H31" s="44" t="s">
        <v>1386</v>
      </c>
      <c r="I31" s="44" t="s">
        <v>1397</v>
      </c>
      <c r="J31" s="44"/>
      <c r="K31" s="44"/>
      <c r="L31" s="44" t="s">
        <v>14</v>
      </c>
      <c r="M31" s="44" t="s">
        <v>1391</v>
      </c>
      <c r="N31" s="44" t="s">
        <v>75</v>
      </c>
      <c r="O31" s="44" t="s">
        <v>76</v>
      </c>
      <c r="P31" s="44"/>
      <c r="Q31" s="44"/>
      <c r="R31" s="44"/>
      <c r="S31" s="44">
        <v>0.05</v>
      </c>
      <c r="T31" s="44">
        <v>0.5</v>
      </c>
      <c r="U31" s="44">
        <v>0.05</v>
      </c>
      <c r="V31" s="44"/>
      <c r="W31" s="44">
        <v>2000</v>
      </c>
      <c r="X31" s="44">
        <v>111.5</v>
      </c>
    </row>
  </sheetData>
  <mergeCells count="23">
    <mergeCell ref="R7:U7"/>
    <mergeCell ref="V7:X7"/>
    <mergeCell ref="R8:S8"/>
    <mergeCell ref="T8:U8"/>
    <mergeCell ref="V8:X8"/>
    <mergeCell ref="P8:P9"/>
    <mergeCell ref="Q8:Q9"/>
    <mergeCell ref="F7:K7"/>
    <mergeCell ref="L7:M7"/>
    <mergeCell ref="N7:O7"/>
    <mergeCell ref="P7:Q7"/>
    <mergeCell ref="J8:J10"/>
    <mergeCell ref="K8:K10"/>
    <mergeCell ref="L9:L10"/>
    <mergeCell ref="M9:M10"/>
    <mergeCell ref="N8:N10"/>
    <mergeCell ref="O8:O10"/>
    <mergeCell ref="D7:D10"/>
    <mergeCell ref="E7:E10"/>
    <mergeCell ref="F8:F10"/>
    <mergeCell ref="G8:G10"/>
    <mergeCell ref="H8:H10"/>
    <mergeCell ref="I8:I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1">
              <controlPr defaultSize="0" print="0" autoFill="0" autoPict="0" macro="[0]!Ergaenzen_Aus_Datenbank">
                <anchor moveWithCells="1" sizeWithCells="1">
                  <from>
                    <xdr:col>4</xdr:col>
                    <xdr:colOff>0</xdr:colOff>
                    <xdr:row>11</xdr:row>
                    <xdr:rowOff>0</xdr:rowOff>
                  </from>
                  <to>
                    <xdr:col>4</xdr:col>
                    <xdr:colOff>257175</xdr:colOff>
                    <xdr:row>12</xdr:row>
                    <xdr:rowOff>0</xdr:rowOff>
                  </to>
                </anchor>
              </controlPr>
            </control>
          </mc:Choice>
        </mc:AlternateContent>
        <mc:AlternateContent xmlns:mc="http://schemas.openxmlformats.org/markup-compatibility/2006">
          <mc:Choice Requires="x14">
            <control shapeId="5122" r:id="rId4" name="-1">
              <controlPr defaultSize="0" print="0" autoFill="0" autoPict="0" macro="[0]!Ersetzen_Aus_Datenbank">
                <anchor moveWithCells="1" sizeWithCells="1">
                  <from>
                    <xdr:col>4</xdr:col>
                    <xdr:colOff>257175</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5123" r:id="rId5" name="2">
              <controlPr defaultSize="0" print="0" autoFill="0" autoPict="0" macro="[0]!Ergaenzen_Aus_Datenbank">
                <anchor moveWithCells="1" sizeWithCells="1">
                  <from>
                    <xdr:col>4</xdr:col>
                    <xdr:colOff>0</xdr:colOff>
                    <xdr:row>12</xdr:row>
                    <xdr:rowOff>0</xdr:rowOff>
                  </from>
                  <to>
                    <xdr:col>4</xdr:col>
                    <xdr:colOff>257175</xdr:colOff>
                    <xdr:row>13</xdr:row>
                    <xdr:rowOff>0</xdr:rowOff>
                  </to>
                </anchor>
              </controlPr>
            </control>
          </mc:Choice>
        </mc:AlternateContent>
        <mc:AlternateContent xmlns:mc="http://schemas.openxmlformats.org/markup-compatibility/2006">
          <mc:Choice Requires="x14">
            <control shapeId="5124" r:id="rId6" name="-2">
              <controlPr defaultSize="0" print="0" autoFill="0" autoPict="0" macro="[0]!Ersetzen_Aus_Datenbank">
                <anchor moveWithCells="1" sizeWithCells="1">
                  <from>
                    <xdr:col>4</xdr:col>
                    <xdr:colOff>257175</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5125" r:id="rId7" name="3">
              <controlPr defaultSize="0" print="0" autoFill="0" autoPict="0" macro="[0]!Ergaenzen_Aus_Datenbank">
                <anchor moveWithCells="1" sizeWithCells="1">
                  <from>
                    <xdr:col>4</xdr:col>
                    <xdr:colOff>0</xdr:colOff>
                    <xdr:row>13</xdr:row>
                    <xdr:rowOff>0</xdr:rowOff>
                  </from>
                  <to>
                    <xdr:col>4</xdr:col>
                    <xdr:colOff>257175</xdr:colOff>
                    <xdr:row>14</xdr:row>
                    <xdr:rowOff>0</xdr:rowOff>
                  </to>
                </anchor>
              </controlPr>
            </control>
          </mc:Choice>
        </mc:AlternateContent>
        <mc:AlternateContent xmlns:mc="http://schemas.openxmlformats.org/markup-compatibility/2006">
          <mc:Choice Requires="x14">
            <control shapeId="5126" r:id="rId8" name="-3">
              <controlPr defaultSize="0" print="0" autoFill="0" autoPict="0" macro="[0]!Ersetzen_Aus_Datenbank">
                <anchor moveWithCells="1" sizeWithCells="1">
                  <from>
                    <xdr:col>4</xdr:col>
                    <xdr:colOff>257175</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5127" r:id="rId9" name="4">
              <controlPr defaultSize="0" print="0" autoFill="0" autoPict="0" macro="[0]!Ergaenzen_Aus_Datenbank">
                <anchor moveWithCells="1" sizeWithCells="1">
                  <from>
                    <xdr:col>4</xdr:col>
                    <xdr:colOff>0</xdr:colOff>
                    <xdr:row>14</xdr:row>
                    <xdr:rowOff>0</xdr:rowOff>
                  </from>
                  <to>
                    <xdr:col>4</xdr:col>
                    <xdr:colOff>257175</xdr:colOff>
                    <xdr:row>15</xdr:row>
                    <xdr:rowOff>0</xdr:rowOff>
                  </to>
                </anchor>
              </controlPr>
            </control>
          </mc:Choice>
        </mc:AlternateContent>
        <mc:AlternateContent xmlns:mc="http://schemas.openxmlformats.org/markup-compatibility/2006">
          <mc:Choice Requires="x14">
            <control shapeId="5128" r:id="rId10" name="-4">
              <controlPr defaultSize="0" print="0" autoFill="0" autoPict="0" macro="[0]!Ersetzen_Aus_Datenbank">
                <anchor moveWithCells="1" sizeWithCells="1">
                  <from>
                    <xdr:col>4</xdr:col>
                    <xdr:colOff>257175</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5129" r:id="rId11" name="5">
              <controlPr defaultSize="0" print="0" autoFill="0" autoPict="0" macro="[0]!Ergaenzen_Aus_Datenbank">
                <anchor moveWithCells="1" sizeWithCells="1">
                  <from>
                    <xdr:col>4</xdr:col>
                    <xdr:colOff>0</xdr:colOff>
                    <xdr:row>15</xdr:row>
                    <xdr:rowOff>0</xdr:rowOff>
                  </from>
                  <to>
                    <xdr:col>4</xdr:col>
                    <xdr:colOff>257175</xdr:colOff>
                    <xdr:row>16</xdr:row>
                    <xdr:rowOff>0</xdr:rowOff>
                  </to>
                </anchor>
              </controlPr>
            </control>
          </mc:Choice>
        </mc:AlternateContent>
        <mc:AlternateContent xmlns:mc="http://schemas.openxmlformats.org/markup-compatibility/2006">
          <mc:Choice Requires="x14">
            <control shapeId="5130" r:id="rId12" name="-5">
              <controlPr defaultSize="0" print="0" autoFill="0" autoPict="0" macro="[0]!Ersetzen_Aus_Datenbank">
                <anchor moveWithCells="1" sizeWithCells="1">
                  <from>
                    <xdr:col>4</xdr:col>
                    <xdr:colOff>257175</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5131" r:id="rId13" name="6">
              <controlPr defaultSize="0" print="0" autoFill="0" autoPict="0" macro="[0]!Ergaenzen_Aus_Datenbank">
                <anchor moveWithCells="1" sizeWithCells="1">
                  <from>
                    <xdr:col>4</xdr:col>
                    <xdr:colOff>0</xdr:colOff>
                    <xdr:row>16</xdr:row>
                    <xdr:rowOff>0</xdr:rowOff>
                  </from>
                  <to>
                    <xdr:col>4</xdr:col>
                    <xdr:colOff>257175</xdr:colOff>
                    <xdr:row>17</xdr:row>
                    <xdr:rowOff>0</xdr:rowOff>
                  </to>
                </anchor>
              </controlPr>
            </control>
          </mc:Choice>
        </mc:AlternateContent>
        <mc:AlternateContent xmlns:mc="http://schemas.openxmlformats.org/markup-compatibility/2006">
          <mc:Choice Requires="x14">
            <control shapeId="5132" r:id="rId14" name="-6">
              <controlPr defaultSize="0" print="0" autoFill="0" autoPict="0" macro="[0]!Ersetzen_Aus_Datenbank">
                <anchor moveWithCells="1" sizeWithCells="1">
                  <from>
                    <xdr:col>4</xdr:col>
                    <xdr:colOff>257175</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5133" r:id="rId15" name="7">
              <controlPr defaultSize="0" print="0" autoFill="0" autoPict="0" macro="[0]!Ergaenzen_Aus_Datenbank">
                <anchor moveWithCells="1" sizeWithCells="1">
                  <from>
                    <xdr:col>4</xdr:col>
                    <xdr:colOff>0</xdr:colOff>
                    <xdr:row>17</xdr:row>
                    <xdr:rowOff>0</xdr:rowOff>
                  </from>
                  <to>
                    <xdr:col>4</xdr:col>
                    <xdr:colOff>257175</xdr:colOff>
                    <xdr:row>18</xdr:row>
                    <xdr:rowOff>0</xdr:rowOff>
                  </to>
                </anchor>
              </controlPr>
            </control>
          </mc:Choice>
        </mc:AlternateContent>
        <mc:AlternateContent xmlns:mc="http://schemas.openxmlformats.org/markup-compatibility/2006">
          <mc:Choice Requires="x14">
            <control shapeId="5134" r:id="rId16" name="-7">
              <controlPr defaultSize="0" print="0" autoFill="0" autoPict="0" macro="[0]!Ersetzen_Aus_Datenbank">
                <anchor moveWithCells="1" sizeWithCells="1">
                  <from>
                    <xdr:col>4</xdr:col>
                    <xdr:colOff>257175</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5135" r:id="rId17" name="8">
              <controlPr defaultSize="0" print="0" autoFill="0" autoPict="0" macro="[0]!Ergaenzen_Aus_Datenbank">
                <anchor moveWithCells="1" sizeWithCells="1">
                  <from>
                    <xdr:col>4</xdr:col>
                    <xdr:colOff>0</xdr:colOff>
                    <xdr:row>18</xdr:row>
                    <xdr:rowOff>0</xdr:rowOff>
                  </from>
                  <to>
                    <xdr:col>4</xdr:col>
                    <xdr:colOff>257175</xdr:colOff>
                    <xdr:row>19</xdr:row>
                    <xdr:rowOff>0</xdr:rowOff>
                  </to>
                </anchor>
              </controlPr>
            </control>
          </mc:Choice>
        </mc:AlternateContent>
        <mc:AlternateContent xmlns:mc="http://schemas.openxmlformats.org/markup-compatibility/2006">
          <mc:Choice Requires="x14">
            <control shapeId="5136" r:id="rId18" name="-8">
              <controlPr defaultSize="0" print="0" autoFill="0" autoPict="0" macro="[0]!Ersetzen_Aus_Datenbank">
                <anchor moveWithCells="1" sizeWithCells="1">
                  <from>
                    <xdr:col>4</xdr:col>
                    <xdr:colOff>257175</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5137" r:id="rId19" name="9">
              <controlPr defaultSize="0" print="0" autoFill="0" autoPict="0" macro="[0]!Ergaenzen_Aus_Datenbank">
                <anchor moveWithCells="1" sizeWithCells="1">
                  <from>
                    <xdr:col>4</xdr:col>
                    <xdr:colOff>0</xdr:colOff>
                    <xdr:row>19</xdr:row>
                    <xdr:rowOff>0</xdr:rowOff>
                  </from>
                  <to>
                    <xdr:col>4</xdr:col>
                    <xdr:colOff>257175</xdr:colOff>
                    <xdr:row>20</xdr:row>
                    <xdr:rowOff>0</xdr:rowOff>
                  </to>
                </anchor>
              </controlPr>
            </control>
          </mc:Choice>
        </mc:AlternateContent>
        <mc:AlternateContent xmlns:mc="http://schemas.openxmlformats.org/markup-compatibility/2006">
          <mc:Choice Requires="x14">
            <control shapeId="5138" r:id="rId20" name="-9">
              <controlPr defaultSize="0" print="0" autoFill="0" autoPict="0" macro="[0]!Ersetzen_Aus_Datenbank">
                <anchor moveWithCells="1" sizeWithCells="1">
                  <from>
                    <xdr:col>4</xdr:col>
                    <xdr:colOff>257175</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5139" r:id="rId21" name="10">
              <controlPr defaultSize="0" print="0" autoFill="0" autoPict="0" macro="[0]!Ergaenzen_Aus_Datenbank">
                <anchor moveWithCells="1" sizeWithCells="1">
                  <from>
                    <xdr:col>4</xdr:col>
                    <xdr:colOff>0</xdr:colOff>
                    <xdr:row>20</xdr:row>
                    <xdr:rowOff>0</xdr:rowOff>
                  </from>
                  <to>
                    <xdr:col>4</xdr:col>
                    <xdr:colOff>257175</xdr:colOff>
                    <xdr:row>21</xdr:row>
                    <xdr:rowOff>0</xdr:rowOff>
                  </to>
                </anchor>
              </controlPr>
            </control>
          </mc:Choice>
        </mc:AlternateContent>
        <mc:AlternateContent xmlns:mc="http://schemas.openxmlformats.org/markup-compatibility/2006">
          <mc:Choice Requires="x14">
            <control shapeId="5140" r:id="rId22" name="-10">
              <controlPr defaultSize="0" print="0" autoFill="0" autoPict="0" macro="[0]!Ersetzen_Aus_Datenbank">
                <anchor moveWithCells="1" sizeWithCells="1">
                  <from>
                    <xdr:col>4</xdr:col>
                    <xdr:colOff>257175</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5141" r:id="rId23" name="11">
              <controlPr defaultSize="0" print="0" autoFill="0" autoPict="0" macro="[0]!Ergaenzen_Aus_Datenbank">
                <anchor moveWithCells="1" sizeWithCells="1">
                  <from>
                    <xdr:col>4</xdr:col>
                    <xdr:colOff>0</xdr:colOff>
                    <xdr:row>21</xdr:row>
                    <xdr:rowOff>0</xdr:rowOff>
                  </from>
                  <to>
                    <xdr:col>4</xdr:col>
                    <xdr:colOff>257175</xdr:colOff>
                    <xdr:row>22</xdr:row>
                    <xdr:rowOff>0</xdr:rowOff>
                  </to>
                </anchor>
              </controlPr>
            </control>
          </mc:Choice>
        </mc:AlternateContent>
        <mc:AlternateContent xmlns:mc="http://schemas.openxmlformats.org/markup-compatibility/2006">
          <mc:Choice Requires="x14">
            <control shapeId="5142" r:id="rId24" name="-11">
              <controlPr defaultSize="0" print="0" autoFill="0" autoPict="0" macro="[0]!Ersetzen_Aus_Datenbank">
                <anchor moveWithCells="1" sizeWithCells="1">
                  <from>
                    <xdr:col>4</xdr:col>
                    <xdr:colOff>257175</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5143" r:id="rId25" name="12">
              <controlPr defaultSize="0" print="0" autoFill="0" autoPict="0" macro="[0]!Ergaenzen_Aus_Datenbank">
                <anchor moveWithCells="1" sizeWithCells="1">
                  <from>
                    <xdr:col>4</xdr:col>
                    <xdr:colOff>0</xdr:colOff>
                    <xdr:row>22</xdr:row>
                    <xdr:rowOff>0</xdr:rowOff>
                  </from>
                  <to>
                    <xdr:col>4</xdr:col>
                    <xdr:colOff>257175</xdr:colOff>
                    <xdr:row>23</xdr:row>
                    <xdr:rowOff>0</xdr:rowOff>
                  </to>
                </anchor>
              </controlPr>
            </control>
          </mc:Choice>
        </mc:AlternateContent>
        <mc:AlternateContent xmlns:mc="http://schemas.openxmlformats.org/markup-compatibility/2006">
          <mc:Choice Requires="x14">
            <control shapeId="5144" r:id="rId26" name="-12">
              <controlPr defaultSize="0" print="0" autoFill="0" autoPict="0" macro="[0]!Ersetzen_Aus_Datenbank">
                <anchor moveWithCells="1" sizeWithCells="1">
                  <from>
                    <xdr:col>4</xdr:col>
                    <xdr:colOff>257175</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5145" r:id="rId27" name="13">
              <controlPr defaultSize="0" print="0" autoFill="0" autoPict="0" macro="[0]!Ergaenzen_Aus_Datenbank">
                <anchor moveWithCells="1" sizeWithCells="1">
                  <from>
                    <xdr:col>4</xdr:col>
                    <xdr:colOff>0</xdr:colOff>
                    <xdr:row>23</xdr:row>
                    <xdr:rowOff>0</xdr:rowOff>
                  </from>
                  <to>
                    <xdr:col>4</xdr:col>
                    <xdr:colOff>257175</xdr:colOff>
                    <xdr:row>24</xdr:row>
                    <xdr:rowOff>0</xdr:rowOff>
                  </to>
                </anchor>
              </controlPr>
            </control>
          </mc:Choice>
        </mc:AlternateContent>
        <mc:AlternateContent xmlns:mc="http://schemas.openxmlformats.org/markup-compatibility/2006">
          <mc:Choice Requires="x14">
            <control shapeId="5146" r:id="rId28" name="-13">
              <controlPr defaultSize="0" print="0" autoFill="0" autoPict="0" macro="[0]!Ersetzen_Aus_Datenbank">
                <anchor moveWithCells="1" sizeWithCells="1">
                  <from>
                    <xdr:col>4</xdr:col>
                    <xdr:colOff>257175</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5147" r:id="rId29" name="14">
              <controlPr defaultSize="0" print="0" autoFill="0" autoPict="0" macro="[0]!Ergaenzen_Aus_Datenbank">
                <anchor moveWithCells="1" sizeWithCells="1">
                  <from>
                    <xdr:col>4</xdr:col>
                    <xdr:colOff>0</xdr:colOff>
                    <xdr:row>24</xdr:row>
                    <xdr:rowOff>0</xdr:rowOff>
                  </from>
                  <to>
                    <xdr:col>4</xdr:col>
                    <xdr:colOff>257175</xdr:colOff>
                    <xdr:row>25</xdr:row>
                    <xdr:rowOff>0</xdr:rowOff>
                  </to>
                </anchor>
              </controlPr>
            </control>
          </mc:Choice>
        </mc:AlternateContent>
        <mc:AlternateContent xmlns:mc="http://schemas.openxmlformats.org/markup-compatibility/2006">
          <mc:Choice Requires="x14">
            <control shapeId="5148" r:id="rId30" name="-14">
              <controlPr defaultSize="0" print="0" autoFill="0" autoPict="0" macro="[0]!Ersetzen_Aus_Datenbank">
                <anchor moveWithCells="1" sizeWithCells="1">
                  <from>
                    <xdr:col>4</xdr:col>
                    <xdr:colOff>257175</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5149" r:id="rId31" name="15">
              <controlPr defaultSize="0" print="0" autoFill="0" autoPict="0" macro="[0]!Ergaenzen_Aus_Datenbank">
                <anchor moveWithCells="1" sizeWithCells="1">
                  <from>
                    <xdr:col>4</xdr:col>
                    <xdr:colOff>0</xdr:colOff>
                    <xdr:row>25</xdr:row>
                    <xdr:rowOff>0</xdr:rowOff>
                  </from>
                  <to>
                    <xdr:col>4</xdr:col>
                    <xdr:colOff>257175</xdr:colOff>
                    <xdr:row>26</xdr:row>
                    <xdr:rowOff>0</xdr:rowOff>
                  </to>
                </anchor>
              </controlPr>
            </control>
          </mc:Choice>
        </mc:AlternateContent>
        <mc:AlternateContent xmlns:mc="http://schemas.openxmlformats.org/markup-compatibility/2006">
          <mc:Choice Requires="x14">
            <control shapeId="5150" r:id="rId32" name="-15">
              <controlPr defaultSize="0" print="0" autoFill="0" autoPict="0" macro="[0]!Ersetzen_Aus_Datenbank">
                <anchor moveWithCells="1" sizeWithCells="1">
                  <from>
                    <xdr:col>4</xdr:col>
                    <xdr:colOff>257175</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5151" r:id="rId33" name="16">
              <controlPr defaultSize="0" print="0" autoFill="0" autoPict="0" macro="[0]!Ergaenzen_Aus_Datenbank">
                <anchor moveWithCells="1" sizeWithCells="1">
                  <from>
                    <xdr:col>4</xdr:col>
                    <xdr:colOff>0</xdr:colOff>
                    <xdr:row>26</xdr:row>
                    <xdr:rowOff>0</xdr:rowOff>
                  </from>
                  <to>
                    <xdr:col>4</xdr:col>
                    <xdr:colOff>257175</xdr:colOff>
                    <xdr:row>27</xdr:row>
                    <xdr:rowOff>0</xdr:rowOff>
                  </to>
                </anchor>
              </controlPr>
            </control>
          </mc:Choice>
        </mc:AlternateContent>
        <mc:AlternateContent xmlns:mc="http://schemas.openxmlformats.org/markup-compatibility/2006">
          <mc:Choice Requires="x14">
            <control shapeId="5152" r:id="rId34" name="-16">
              <controlPr defaultSize="0" print="0" autoFill="0" autoPict="0" macro="[0]!Ersetzen_Aus_Datenbank">
                <anchor moveWithCells="1" sizeWithCells="1">
                  <from>
                    <xdr:col>4</xdr:col>
                    <xdr:colOff>257175</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5153" r:id="rId35" name="17">
              <controlPr defaultSize="0" print="0" autoFill="0" autoPict="0" macro="[0]!Ergaenzen_Aus_Datenbank">
                <anchor moveWithCells="1" sizeWithCells="1">
                  <from>
                    <xdr:col>4</xdr:col>
                    <xdr:colOff>0</xdr:colOff>
                    <xdr:row>27</xdr:row>
                    <xdr:rowOff>0</xdr:rowOff>
                  </from>
                  <to>
                    <xdr:col>4</xdr:col>
                    <xdr:colOff>257175</xdr:colOff>
                    <xdr:row>28</xdr:row>
                    <xdr:rowOff>0</xdr:rowOff>
                  </to>
                </anchor>
              </controlPr>
            </control>
          </mc:Choice>
        </mc:AlternateContent>
        <mc:AlternateContent xmlns:mc="http://schemas.openxmlformats.org/markup-compatibility/2006">
          <mc:Choice Requires="x14">
            <control shapeId="5154" r:id="rId36" name="-17">
              <controlPr defaultSize="0" print="0" autoFill="0" autoPict="0" macro="[0]!Ersetzen_Aus_Datenbank">
                <anchor moveWithCells="1" sizeWithCells="1">
                  <from>
                    <xdr:col>4</xdr:col>
                    <xdr:colOff>257175</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5155" r:id="rId37" name="18">
              <controlPr defaultSize="0" print="0" autoFill="0" autoPict="0" macro="[0]!Ergaenzen_Aus_Datenbank">
                <anchor moveWithCells="1" sizeWithCells="1">
                  <from>
                    <xdr:col>4</xdr:col>
                    <xdr:colOff>0</xdr:colOff>
                    <xdr:row>28</xdr:row>
                    <xdr:rowOff>0</xdr:rowOff>
                  </from>
                  <to>
                    <xdr:col>4</xdr:col>
                    <xdr:colOff>257175</xdr:colOff>
                    <xdr:row>29</xdr:row>
                    <xdr:rowOff>0</xdr:rowOff>
                  </to>
                </anchor>
              </controlPr>
            </control>
          </mc:Choice>
        </mc:AlternateContent>
        <mc:AlternateContent xmlns:mc="http://schemas.openxmlformats.org/markup-compatibility/2006">
          <mc:Choice Requires="x14">
            <control shapeId="5156" r:id="rId38" name="-18">
              <controlPr defaultSize="0" print="0" autoFill="0" autoPict="0" macro="[0]!Ersetzen_Aus_Datenbank">
                <anchor moveWithCells="1" sizeWithCells="1">
                  <from>
                    <xdr:col>4</xdr:col>
                    <xdr:colOff>257175</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5157" r:id="rId39" name="19">
              <controlPr defaultSize="0" print="0" autoFill="0" autoPict="0" macro="[0]!Ergaenzen_Aus_Datenbank">
                <anchor moveWithCells="1" sizeWithCells="1">
                  <from>
                    <xdr:col>4</xdr:col>
                    <xdr:colOff>0</xdr:colOff>
                    <xdr:row>29</xdr:row>
                    <xdr:rowOff>0</xdr:rowOff>
                  </from>
                  <to>
                    <xdr:col>4</xdr:col>
                    <xdr:colOff>257175</xdr:colOff>
                    <xdr:row>30</xdr:row>
                    <xdr:rowOff>0</xdr:rowOff>
                  </to>
                </anchor>
              </controlPr>
            </control>
          </mc:Choice>
        </mc:AlternateContent>
        <mc:AlternateContent xmlns:mc="http://schemas.openxmlformats.org/markup-compatibility/2006">
          <mc:Choice Requires="x14">
            <control shapeId="5158" r:id="rId40" name="-19">
              <controlPr defaultSize="0" print="0" autoFill="0" autoPict="0" macro="[0]!Ersetzen_Aus_Datenbank">
                <anchor moveWithCells="1" sizeWithCells="1">
                  <from>
                    <xdr:col>4</xdr:col>
                    <xdr:colOff>257175</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5159" r:id="rId41" name="20">
              <controlPr defaultSize="0" print="0" autoFill="0" autoPict="0" macro="[0]!Ergaenzen_Aus_Datenbank">
                <anchor moveWithCells="1" sizeWithCells="1">
                  <from>
                    <xdr:col>4</xdr:col>
                    <xdr:colOff>0</xdr:colOff>
                    <xdr:row>30</xdr:row>
                    <xdr:rowOff>0</xdr:rowOff>
                  </from>
                  <to>
                    <xdr:col>4</xdr:col>
                    <xdr:colOff>257175</xdr:colOff>
                    <xdr:row>31</xdr:row>
                    <xdr:rowOff>0</xdr:rowOff>
                  </to>
                </anchor>
              </controlPr>
            </control>
          </mc:Choice>
        </mc:AlternateContent>
        <mc:AlternateContent xmlns:mc="http://schemas.openxmlformats.org/markup-compatibility/2006">
          <mc:Choice Requires="x14">
            <control shapeId="5160" r:id="rId42" name="-20">
              <controlPr defaultSize="0" print="0" autoFill="0" autoPict="0" macro="[0]!Ersetzen_Aus_Datenbank">
                <anchor moveWithCells="1" sizeWithCells="1">
                  <from>
                    <xdr:col>4</xdr:col>
                    <xdr:colOff>257175</xdr:colOff>
                    <xdr:row>30</xdr:row>
                    <xdr:rowOff>0</xdr:rowOff>
                  </from>
                  <to>
                    <xdr:col>5</xdr:col>
                    <xdr:colOff>0</xdr:colOff>
                    <xdr:row>31</xdr:row>
                    <xdr:rowOff>0</xdr:rowOff>
                  </to>
                </anchor>
              </controlPr>
            </control>
          </mc:Choice>
        </mc:AlternateContent>
      </controls>
    </mc:Choice>
  </mc:AlternateContent>
  <tableParts count="1">
    <tablePart r:id="rId43"/>
  </tableParts>
  <extLst>
    <ext xmlns:x15="http://schemas.microsoft.com/office/spreadsheetml/2010/11/main" uri="{3A4CF648-6AED-40f4-86FF-DC5316D8AED3}">
      <x14:slicerList xmlns:x14="http://schemas.microsoft.com/office/spreadsheetml/2009/9/main">
        <x14:slicer r:id="rId4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D45A3-6677-419F-80EB-FACF760008F6}">
  <sheetPr codeName="Sheet6"/>
  <dimension ref="C1:H29"/>
  <sheetViews>
    <sheetView workbookViewId="0">
      <selection activeCell="C1" sqref="C1"/>
    </sheetView>
  </sheetViews>
  <sheetFormatPr defaultRowHeight="12"/>
  <cols>
    <col min="1" max="2" width="3.28515625" style="8" customWidth="1"/>
    <col min="3" max="3" width="36.7109375" style="8" customWidth="1"/>
    <col min="4" max="16384" width="9.140625" style="8"/>
  </cols>
  <sheetData>
    <row r="1" spans="3:8" ht="15.75">
      <c r="C1" s="40" t="s">
        <v>152</v>
      </c>
    </row>
    <row r="5" spans="3:8">
      <c r="C5" s="8" t="s">
        <v>1087</v>
      </c>
      <c r="D5" s="39"/>
      <c r="E5" s="39"/>
      <c r="F5" s="39"/>
      <c r="G5" s="39"/>
      <c r="H5" s="8" t="s">
        <v>1107</v>
      </c>
    </row>
    <row r="7" spans="3:8">
      <c r="C7" s="8" t="s">
        <v>1094</v>
      </c>
      <c r="D7" s="38"/>
      <c r="E7" s="8" t="s">
        <v>1098</v>
      </c>
    </row>
    <row r="10" spans="3:8" ht="15">
      <c r="C10" s="41" t="s">
        <v>1339</v>
      </c>
    </row>
    <row r="12" spans="3:8">
      <c r="C12" s="8" t="s">
        <v>1117</v>
      </c>
      <c r="D12" s="39"/>
      <c r="E12" s="39"/>
      <c r="F12" s="39"/>
      <c r="G12" s="39"/>
      <c r="H12" s="8" t="s">
        <v>1112</v>
      </c>
    </row>
    <row r="13" spans="3:8">
      <c r="C13" s="8" t="s">
        <v>1122</v>
      </c>
      <c r="D13" s="39" t="s">
        <v>1340</v>
      </c>
      <c r="E13" s="39"/>
      <c r="F13" s="39"/>
      <c r="G13" s="39"/>
      <c r="H13" s="8" t="s">
        <v>1127</v>
      </c>
    </row>
    <row r="17" spans="3:8">
      <c r="C17" s="8" t="s">
        <v>1133</v>
      </c>
      <c r="D17" s="24"/>
      <c r="E17" s="24"/>
      <c r="F17" s="24"/>
      <c r="G17" s="24"/>
    </row>
    <row r="19" spans="3:8">
      <c r="C19" s="8" t="s">
        <v>1163</v>
      </c>
      <c r="D19" s="39" t="s">
        <v>1171</v>
      </c>
      <c r="E19" s="39"/>
      <c r="F19" s="39"/>
      <c r="G19" s="39"/>
      <c r="H19" s="8" t="s">
        <v>1137</v>
      </c>
    </row>
    <row r="24" spans="3:8" ht="15">
      <c r="C24" s="41" t="s">
        <v>1156</v>
      </c>
    </row>
    <row r="26" spans="3:8">
      <c r="D26" s="26" t="s">
        <v>671</v>
      </c>
      <c r="E26" s="26"/>
      <c r="F26" s="26"/>
      <c r="G26" s="26"/>
      <c r="H26" s="26"/>
    </row>
    <row r="27" spans="3:8">
      <c r="D27" s="27" t="s">
        <v>5</v>
      </c>
      <c r="E27" s="27" t="s">
        <v>6</v>
      </c>
      <c r="F27" s="27" t="s">
        <v>7</v>
      </c>
      <c r="G27" s="27" t="s">
        <v>8</v>
      </c>
      <c r="H27" s="27" t="s">
        <v>9</v>
      </c>
    </row>
    <row r="28" spans="3:8">
      <c r="C28" s="8" t="s">
        <v>1167</v>
      </c>
      <c r="D28" s="28"/>
      <c r="E28" s="29"/>
      <c r="F28" s="30"/>
      <c r="G28" s="31"/>
      <c r="H28" s="32"/>
    </row>
    <row r="29" spans="3:8">
      <c r="C29" s="8" t="s">
        <v>150</v>
      </c>
      <c r="D29" s="33"/>
      <c r="E29" s="34"/>
      <c r="F29" s="35"/>
      <c r="G29" s="36"/>
      <c r="H29" s="37"/>
    </row>
  </sheetData>
  <mergeCells count="6">
    <mergeCell ref="D26:H26"/>
    <mergeCell ref="D5:G5"/>
    <mergeCell ref="D12:G12"/>
    <mergeCell ref="D13:G13"/>
    <mergeCell ref="D17:G17"/>
    <mergeCell ref="D19:G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DataCopy">
                <anchor moveWithCells="1" sizeWithCells="1">
                  <from>
                    <xdr:col>2</xdr:col>
                    <xdr:colOff>0</xdr:colOff>
                    <xdr:row>14</xdr:row>
                    <xdr:rowOff>0</xdr:rowOff>
                  </from>
                  <to>
                    <xdr:col>3</xdr:col>
                    <xdr:colOff>0</xdr:colOff>
                    <xdr:row>16</xdr:row>
                    <xdr:rowOff>0</xdr:rowOff>
                  </to>
                </anchor>
              </controlPr>
            </control>
          </mc:Choice>
        </mc:AlternateContent>
        <mc:AlternateContent xmlns:mc="http://schemas.openxmlformats.org/markup-compatibility/2006">
          <mc:Choice Requires="x14">
            <control shapeId="4098" r:id="rId4" name="Button 2">
              <controlPr defaultSize="0" print="0" autoFill="0" autoPict="0" macro="[0]!DataDeleteTaste">
                <anchor moveWithCells="1" sizeWithCells="1">
                  <from>
                    <xdr:col>4</xdr:col>
                    <xdr:colOff>0</xdr:colOff>
                    <xdr:row>14</xdr:row>
                    <xdr:rowOff>0</xdr:rowOff>
                  </from>
                  <to>
                    <xdr:col>8</xdr:col>
                    <xdr:colOff>0</xdr:colOff>
                    <xdr:row>16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GewerkeAnpassenTaste">
                <anchor moveWithCells="1" sizeWithCells="1">
                  <from>
                    <xdr:col>2</xdr:col>
                    <xdr:colOff>0</xdr:colOff>
                    <xdr:row>20</xdr:row>
                    <xdr:rowOff>0</xdr:rowOff>
                  </from>
                  <to>
                    <xdr:col>3</xdr:col>
                    <xdr:colOff>0</xdr:colOff>
                    <xdr:row>22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6F5A0-FEB8-422B-9E99-A57CDDD09E49}">
  <sheetPr codeName="Sheet3"/>
  <dimension ref="A1:BH81"/>
  <sheetViews>
    <sheetView workbookViewId="0"/>
  </sheetViews>
  <sheetFormatPr defaultRowHeight="15"/>
  <cols>
    <col min="1" max="1" width="27.85546875" bestFit="1" customWidth="1"/>
    <col min="2" max="2" width="22.140625" bestFit="1" customWidth="1"/>
    <col min="3" max="3" width="25.85546875" bestFit="1" customWidth="1"/>
    <col min="4" max="9" width="3.7109375" customWidth="1"/>
    <col min="10" max="10" width="9.42578125" bestFit="1" customWidth="1"/>
    <col min="11" max="11" width="30.28515625" bestFit="1" customWidth="1"/>
    <col min="12" max="12" width="17.7109375" bestFit="1" customWidth="1"/>
    <col min="13" max="13" width="12.140625" bestFit="1" customWidth="1"/>
    <col min="14" max="19" width="3.7109375" customWidth="1"/>
    <col min="20" max="20" width="27.85546875" bestFit="1" customWidth="1"/>
    <col min="21" max="21" width="4.42578125" bestFit="1" customWidth="1"/>
    <col min="22" max="22" width="6.42578125" bestFit="1" customWidth="1"/>
    <col min="23" max="23" width="5" bestFit="1" customWidth="1"/>
    <col min="24" max="29" width="3.7109375" customWidth="1"/>
    <col min="30" max="30" width="22.140625" bestFit="1" customWidth="1"/>
    <col min="31" max="31" width="4.42578125" bestFit="1" customWidth="1"/>
    <col min="32" max="32" width="6.42578125" bestFit="1" customWidth="1"/>
    <col min="33" max="33" width="5" bestFit="1" customWidth="1"/>
    <col min="34" max="39" width="3.7109375" customWidth="1"/>
    <col min="40" max="40" width="25.85546875" bestFit="1" customWidth="1"/>
    <col min="41" max="41" width="30" bestFit="1" customWidth="1"/>
    <col min="42" max="42" width="23" bestFit="1" customWidth="1"/>
    <col min="43" max="43" width="7.42578125" bestFit="1" customWidth="1"/>
    <col min="44" max="44" width="16.140625" bestFit="1" customWidth="1"/>
    <col min="45" max="45" width="3" bestFit="1" customWidth="1"/>
    <col min="46" max="46" width="13.5703125" bestFit="1" customWidth="1"/>
    <col min="47" max="47" width="24" bestFit="1" customWidth="1"/>
    <col min="48" max="48" width="18.5703125" bestFit="1" customWidth="1"/>
    <col min="50" max="50" width="104" bestFit="1" customWidth="1"/>
    <col min="51" max="51" width="2" bestFit="1" customWidth="1"/>
    <col min="52" max="52" width="15.140625" bestFit="1" customWidth="1"/>
    <col min="53" max="53" width="2" bestFit="1" customWidth="1"/>
    <col min="54" max="54" width="56" bestFit="1" customWidth="1"/>
    <col min="60" max="60" width="1.7109375" bestFit="1" customWidth="1"/>
  </cols>
  <sheetData>
    <row r="1" spans="1:60">
      <c r="A1" t="s">
        <v>1</v>
      </c>
      <c r="B1" t="s">
        <v>2</v>
      </c>
      <c r="C1" t="s">
        <v>3</v>
      </c>
      <c r="D1" t="s">
        <v>4</v>
      </c>
      <c r="E1" t="s">
        <v>5</v>
      </c>
      <c r="F1" t="s">
        <v>6</v>
      </c>
      <c r="G1" t="s">
        <v>7</v>
      </c>
      <c r="H1" t="s">
        <v>8</v>
      </c>
      <c r="I1" t="s">
        <v>9</v>
      </c>
      <c r="J1" t="s">
        <v>10</v>
      </c>
      <c r="K1" t="s">
        <v>94</v>
      </c>
      <c r="L1" t="s">
        <v>141</v>
      </c>
      <c r="M1" t="s">
        <v>153</v>
      </c>
      <c r="N1" t="s">
        <v>154</v>
      </c>
      <c r="O1" t="s">
        <v>155</v>
      </c>
      <c r="P1" t="s">
        <v>156</v>
      </c>
      <c r="T1" t="s">
        <v>1</v>
      </c>
      <c r="U1" t="s">
        <v>154</v>
      </c>
      <c r="V1" t="s">
        <v>155</v>
      </c>
      <c r="W1" t="s">
        <v>156</v>
      </c>
      <c r="AD1" t="s">
        <v>2</v>
      </c>
      <c r="AE1" t="s">
        <v>154</v>
      </c>
      <c r="AF1" t="s">
        <v>155</v>
      </c>
      <c r="AG1" t="s">
        <v>156</v>
      </c>
      <c r="AM1" t="s">
        <v>218</v>
      </c>
      <c r="AN1" t="s">
        <v>219</v>
      </c>
      <c r="AR1">
        <v>33</v>
      </c>
      <c r="AU1" t="s">
        <v>220</v>
      </c>
      <c r="AV1">
        <v>9</v>
      </c>
      <c r="AX1" t="s">
        <v>157</v>
      </c>
    </row>
    <row r="2" spans="1:60">
      <c r="A2" t="s">
        <v>11</v>
      </c>
      <c r="B2" t="s">
        <v>12</v>
      </c>
      <c r="C2" t="s">
        <v>13</v>
      </c>
      <c r="J2">
        <v>1</v>
      </c>
      <c r="K2" t="s">
        <v>95</v>
      </c>
      <c r="L2" t="s">
        <v>142</v>
      </c>
      <c r="M2" t="s">
        <v>5</v>
      </c>
      <c r="N2">
        <v>193</v>
      </c>
      <c r="O2">
        <v>1</v>
      </c>
      <c r="P2">
        <v>0</v>
      </c>
      <c r="T2" t="s">
        <v>11</v>
      </c>
      <c r="U2">
        <v>171</v>
      </c>
      <c r="V2">
        <v>121</v>
      </c>
      <c r="W2">
        <v>66</v>
      </c>
      <c r="AD2" t="s">
        <v>12</v>
      </c>
      <c r="AE2">
        <v>255</v>
      </c>
      <c r="AF2">
        <v>0</v>
      </c>
      <c r="AG2">
        <v>0</v>
      </c>
      <c r="AM2" t="s">
        <v>221</v>
      </c>
      <c r="AN2" t="s">
        <v>222</v>
      </c>
      <c r="AO2" t="s">
        <v>1311</v>
      </c>
      <c r="AU2" t="s">
        <v>223</v>
      </c>
      <c r="AV2" t="s">
        <v>224</v>
      </c>
      <c r="AX2" t="s">
        <v>158</v>
      </c>
      <c r="AY2" t="s">
        <v>159</v>
      </c>
      <c r="AZ2" t="s">
        <v>160</v>
      </c>
      <c r="BA2" t="s">
        <v>161</v>
      </c>
      <c r="BB2">
        <v>0</v>
      </c>
    </row>
    <row r="3" spans="1:60">
      <c r="A3" t="s">
        <v>11</v>
      </c>
      <c r="B3" t="s">
        <v>12</v>
      </c>
      <c r="C3" t="s">
        <v>14</v>
      </c>
      <c r="J3">
        <v>1</v>
      </c>
      <c r="K3" t="s">
        <v>14</v>
      </c>
      <c r="L3" t="s">
        <v>143</v>
      </c>
      <c r="M3" t="s">
        <v>6</v>
      </c>
      <c r="N3">
        <v>69</v>
      </c>
      <c r="O3">
        <v>114</v>
      </c>
      <c r="P3">
        <v>167</v>
      </c>
      <c r="T3" t="s">
        <v>23</v>
      </c>
      <c r="U3">
        <v>118</v>
      </c>
      <c r="V3">
        <v>147</v>
      </c>
      <c r="W3">
        <v>60</v>
      </c>
      <c r="AD3" t="s">
        <v>24</v>
      </c>
      <c r="AE3">
        <v>0</v>
      </c>
      <c r="AF3">
        <v>176</v>
      </c>
      <c r="AG3">
        <v>240</v>
      </c>
      <c r="AM3" t="s">
        <v>225</v>
      </c>
      <c r="AN3" t="s">
        <v>226</v>
      </c>
      <c r="AO3" t="s">
        <v>227</v>
      </c>
      <c r="AR3" t="s">
        <v>228</v>
      </c>
      <c r="AS3">
        <v>3</v>
      </c>
      <c r="AU3" t="s">
        <v>229</v>
      </c>
      <c r="AV3" t="s">
        <v>230</v>
      </c>
      <c r="AX3" t="s">
        <v>162</v>
      </c>
      <c r="AY3" t="s">
        <v>159</v>
      </c>
      <c r="AZ3" t="s">
        <v>163</v>
      </c>
      <c r="BA3" t="s">
        <v>161</v>
      </c>
      <c r="BB3">
        <v>0</v>
      </c>
    </row>
    <row r="4" spans="1:60">
      <c r="A4" t="s">
        <v>11</v>
      </c>
      <c r="B4" t="s">
        <v>12</v>
      </c>
      <c r="C4" t="s">
        <v>15</v>
      </c>
      <c r="J4">
        <v>1</v>
      </c>
      <c r="K4" t="s">
        <v>15</v>
      </c>
      <c r="L4" t="s">
        <v>144</v>
      </c>
      <c r="M4" t="s">
        <v>7</v>
      </c>
      <c r="N4">
        <v>146</v>
      </c>
      <c r="O4">
        <v>208</v>
      </c>
      <c r="P4">
        <v>80</v>
      </c>
      <c r="T4" t="s">
        <v>37</v>
      </c>
      <c r="U4">
        <v>0</v>
      </c>
      <c r="V4">
        <v>150</v>
      </c>
      <c r="W4">
        <v>255</v>
      </c>
      <c r="AD4" t="s">
        <v>29</v>
      </c>
      <c r="AE4">
        <v>78</v>
      </c>
      <c r="AF4">
        <v>143</v>
      </c>
      <c r="AG4">
        <v>0</v>
      </c>
      <c r="AM4" t="s">
        <v>231</v>
      </c>
      <c r="AN4" t="s">
        <v>226</v>
      </c>
      <c r="AO4" t="s">
        <v>232</v>
      </c>
      <c r="AR4" t="s">
        <v>233</v>
      </c>
      <c r="AS4">
        <v>4</v>
      </c>
      <c r="AU4" t="s">
        <v>234</v>
      </c>
      <c r="AV4" t="s">
        <v>235</v>
      </c>
      <c r="AX4" t="s">
        <v>164</v>
      </c>
      <c r="AY4" t="s">
        <v>159</v>
      </c>
      <c r="AZ4" t="s">
        <v>165</v>
      </c>
      <c r="BA4" t="s">
        <v>161</v>
      </c>
      <c r="BB4">
        <v>0</v>
      </c>
    </row>
    <row r="5" spans="1:60">
      <c r="A5" t="s">
        <v>11</v>
      </c>
      <c r="B5" t="s">
        <v>12</v>
      </c>
      <c r="C5" t="s">
        <v>16</v>
      </c>
      <c r="J5">
        <v>1</v>
      </c>
      <c r="K5" t="s">
        <v>96</v>
      </c>
      <c r="L5" t="s">
        <v>145</v>
      </c>
      <c r="M5" t="s">
        <v>8</v>
      </c>
      <c r="N5">
        <v>255</v>
      </c>
      <c r="O5">
        <v>192</v>
      </c>
      <c r="P5">
        <v>0</v>
      </c>
      <c r="T5" t="s">
        <v>82</v>
      </c>
      <c r="U5">
        <v>255</v>
      </c>
      <c r="V5">
        <v>0</v>
      </c>
      <c r="W5">
        <v>0</v>
      </c>
      <c r="AD5" t="s">
        <v>27</v>
      </c>
      <c r="AE5">
        <v>146</v>
      </c>
      <c r="AF5">
        <v>144</v>
      </c>
      <c r="AG5">
        <v>0</v>
      </c>
      <c r="AM5" t="s">
        <v>236</v>
      </c>
      <c r="AN5" t="s">
        <v>226</v>
      </c>
      <c r="AO5" t="s">
        <v>237</v>
      </c>
      <c r="AR5" t="s">
        <v>238</v>
      </c>
      <c r="AS5">
        <v>5</v>
      </c>
      <c r="AU5" t="s">
        <v>239</v>
      </c>
      <c r="AV5" t="s">
        <v>240</v>
      </c>
      <c r="AX5" t="s">
        <v>166</v>
      </c>
      <c r="AY5" t="s">
        <v>159</v>
      </c>
      <c r="AZ5" t="s">
        <v>167</v>
      </c>
      <c r="BA5" t="s">
        <v>161</v>
      </c>
      <c r="BB5">
        <v>0</v>
      </c>
    </row>
    <row r="6" spans="1:60">
      <c r="A6" t="s">
        <v>11</v>
      </c>
      <c r="B6" t="s">
        <v>12</v>
      </c>
      <c r="C6" t="s">
        <v>17</v>
      </c>
      <c r="J6">
        <v>1</v>
      </c>
      <c r="K6" t="s">
        <v>16</v>
      </c>
      <c r="L6" t="s">
        <v>146</v>
      </c>
      <c r="M6" t="s">
        <v>9</v>
      </c>
      <c r="N6">
        <v>190</v>
      </c>
      <c r="O6">
        <v>143</v>
      </c>
      <c r="P6">
        <v>14</v>
      </c>
      <c r="T6" t="s">
        <v>85</v>
      </c>
      <c r="U6">
        <v>112</v>
      </c>
      <c r="V6">
        <v>48</v>
      </c>
      <c r="W6">
        <v>0</v>
      </c>
      <c r="AD6" t="s">
        <v>28</v>
      </c>
      <c r="AE6">
        <v>0</v>
      </c>
      <c r="AF6">
        <v>143</v>
      </c>
      <c r="AG6">
        <v>0</v>
      </c>
      <c r="AM6" t="s">
        <v>241</v>
      </c>
      <c r="AN6" t="s">
        <v>226</v>
      </c>
      <c r="AO6" t="s">
        <v>242</v>
      </c>
      <c r="AR6" t="s">
        <v>243</v>
      </c>
      <c r="AS6">
        <v>6</v>
      </c>
      <c r="AU6" t="s">
        <v>244</v>
      </c>
      <c r="AV6" t="s">
        <v>245</v>
      </c>
      <c r="AX6" t="s">
        <v>168</v>
      </c>
      <c r="AY6" t="s">
        <v>159</v>
      </c>
      <c r="AZ6" t="s">
        <v>165</v>
      </c>
      <c r="BA6" t="s">
        <v>169</v>
      </c>
      <c r="BB6" t="s">
        <v>170</v>
      </c>
    </row>
    <row r="7" spans="1:60">
      <c r="A7" t="s">
        <v>11</v>
      </c>
      <c r="B7" t="s">
        <v>12</v>
      </c>
      <c r="C7" t="s">
        <v>18</v>
      </c>
      <c r="J7">
        <v>1</v>
      </c>
      <c r="K7" t="s">
        <v>17</v>
      </c>
      <c r="L7" t="s">
        <v>147</v>
      </c>
      <c r="AD7" t="s">
        <v>30</v>
      </c>
      <c r="AE7">
        <v>148</v>
      </c>
      <c r="AF7">
        <v>32</v>
      </c>
      <c r="AG7">
        <v>147</v>
      </c>
      <c r="AM7" t="s">
        <v>246</v>
      </c>
      <c r="AN7" t="s">
        <v>226</v>
      </c>
      <c r="AO7" s="3" t="s">
        <v>1401</v>
      </c>
      <c r="AR7" t="s">
        <v>247</v>
      </c>
      <c r="AS7">
        <v>7</v>
      </c>
      <c r="AU7" t="s">
        <v>248</v>
      </c>
      <c r="AV7" t="s">
        <v>249</v>
      </c>
      <c r="AX7" t="s">
        <v>171</v>
      </c>
      <c r="AY7" t="s">
        <v>159</v>
      </c>
      <c r="AZ7" t="s">
        <v>163</v>
      </c>
      <c r="BA7" t="s">
        <v>169</v>
      </c>
      <c r="BB7" t="s">
        <v>172</v>
      </c>
    </row>
    <row r="8" spans="1:60">
      <c r="A8" t="s">
        <v>11</v>
      </c>
      <c r="B8" t="s">
        <v>12</v>
      </c>
      <c r="C8" t="s">
        <v>19</v>
      </c>
      <c r="J8">
        <v>1</v>
      </c>
      <c r="K8" t="s">
        <v>18</v>
      </c>
      <c r="L8" t="s">
        <v>148</v>
      </c>
      <c r="AD8" t="s">
        <v>38</v>
      </c>
      <c r="AE8">
        <v>122</v>
      </c>
      <c r="AF8">
        <v>129</v>
      </c>
      <c r="AG8">
        <v>255</v>
      </c>
      <c r="AM8" t="s">
        <v>250</v>
      </c>
      <c r="AN8" t="s">
        <v>226</v>
      </c>
      <c r="AO8" s="3" t="s">
        <v>1402</v>
      </c>
      <c r="AR8" t="s">
        <v>251</v>
      </c>
      <c r="AS8">
        <v>8</v>
      </c>
      <c r="AU8" t="s">
        <v>252</v>
      </c>
      <c r="AV8" t="s">
        <v>253</v>
      </c>
      <c r="AX8" t="s">
        <v>173</v>
      </c>
      <c r="AY8" t="s">
        <v>159</v>
      </c>
      <c r="AZ8" t="s">
        <v>160</v>
      </c>
      <c r="BA8" t="s">
        <v>169</v>
      </c>
      <c r="BB8" t="s">
        <v>174</v>
      </c>
    </row>
    <row r="9" spans="1:60" ht="30">
      <c r="A9" t="s">
        <v>11</v>
      </c>
      <c r="B9" t="s">
        <v>12</v>
      </c>
      <c r="C9" t="s">
        <v>20</v>
      </c>
      <c r="J9">
        <v>1</v>
      </c>
      <c r="K9" t="s">
        <v>19</v>
      </c>
      <c r="L9" t="s">
        <v>149</v>
      </c>
      <c r="AD9" t="s">
        <v>44</v>
      </c>
      <c r="AE9">
        <v>255</v>
      </c>
      <c r="AF9">
        <v>147</v>
      </c>
      <c r="AG9">
        <v>0</v>
      </c>
      <c r="AM9" t="s">
        <v>254</v>
      </c>
      <c r="AN9" t="s">
        <v>226</v>
      </c>
      <c r="AO9" s="3" t="s">
        <v>1248</v>
      </c>
      <c r="AR9" t="s">
        <v>255</v>
      </c>
      <c r="AS9">
        <v>9</v>
      </c>
      <c r="AU9" t="s">
        <v>256</v>
      </c>
      <c r="AV9" t="s">
        <v>257</v>
      </c>
      <c r="AX9" t="s">
        <v>175</v>
      </c>
      <c r="AY9" t="s">
        <v>159</v>
      </c>
      <c r="AZ9" t="s">
        <v>163</v>
      </c>
      <c r="BA9" t="s">
        <v>169</v>
      </c>
      <c r="BB9" t="s">
        <v>172</v>
      </c>
    </row>
    <row r="10" spans="1:60" ht="30">
      <c r="A10" t="s">
        <v>11</v>
      </c>
      <c r="B10" t="s">
        <v>12</v>
      </c>
      <c r="C10" t="s">
        <v>21</v>
      </c>
      <c r="J10">
        <v>1</v>
      </c>
      <c r="K10" t="s">
        <v>97</v>
      </c>
      <c r="L10" t="s">
        <v>150</v>
      </c>
      <c r="AD10" t="s">
        <v>60</v>
      </c>
      <c r="AE10">
        <v>255</v>
      </c>
      <c r="AF10">
        <v>133</v>
      </c>
      <c r="AG10">
        <v>255</v>
      </c>
      <c r="AM10" t="s">
        <v>258</v>
      </c>
      <c r="AN10" t="s">
        <v>226</v>
      </c>
      <c r="AO10" s="3" t="s">
        <v>1403</v>
      </c>
      <c r="AR10" t="s">
        <v>259</v>
      </c>
      <c r="AS10">
        <v>10</v>
      </c>
      <c r="AU10" t="s">
        <v>260</v>
      </c>
      <c r="AV10" t="s">
        <v>8</v>
      </c>
      <c r="AX10" t="s">
        <v>176</v>
      </c>
      <c r="AY10" t="s">
        <v>159</v>
      </c>
      <c r="AZ10" t="s">
        <v>160</v>
      </c>
      <c r="BA10" t="s">
        <v>169</v>
      </c>
      <c r="BB10" t="s">
        <v>174</v>
      </c>
    </row>
    <row r="11" spans="1:60">
      <c r="A11" t="s">
        <v>11</v>
      </c>
      <c r="B11" t="s">
        <v>12</v>
      </c>
      <c r="C11" t="s">
        <v>22</v>
      </c>
      <c r="J11">
        <v>1</v>
      </c>
      <c r="K11" t="s">
        <v>98</v>
      </c>
      <c r="L11" t="s">
        <v>151</v>
      </c>
      <c r="AD11" t="s">
        <v>84</v>
      </c>
      <c r="AE11">
        <v>234</v>
      </c>
      <c r="AF11">
        <v>149</v>
      </c>
      <c r="AG11">
        <v>67</v>
      </c>
      <c r="AM11" t="s">
        <v>261</v>
      </c>
      <c r="AN11" t="s">
        <v>262</v>
      </c>
      <c r="AO11" t="s">
        <v>263</v>
      </c>
      <c r="AP11" s="3" t="s">
        <v>1404</v>
      </c>
      <c r="AR11" t="s">
        <v>264</v>
      </c>
      <c r="AS11">
        <v>11</v>
      </c>
      <c r="AX11" t="s">
        <v>177</v>
      </c>
      <c r="AY11" t="s">
        <v>159</v>
      </c>
      <c r="AZ11" t="s">
        <v>165</v>
      </c>
      <c r="BA11" t="s">
        <v>169</v>
      </c>
      <c r="BB11" t="s">
        <v>170</v>
      </c>
    </row>
    <row r="12" spans="1:60">
      <c r="A12" t="s">
        <v>23</v>
      </c>
      <c r="B12" t="s">
        <v>24</v>
      </c>
      <c r="C12" t="s">
        <v>13</v>
      </c>
      <c r="D12">
        <v>1</v>
      </c>
      <c r="E12">
        <v>0.2</v>
      </c>
      <c r="F12">
        <v>0.2</v>
      </c>
      <c r="G12">
        <v>0.2</v>
      </c>
      <c r="H12">
        <v>0.2</v>
      </c>
      <c r="I12">
        <v>0.2</v>
      </c>
      <c r="J12">
        <v>1</v>
      </c>
      <c r="K12" t="s">
        <v>99</v>
      </c>
      <c r="L12" t="s">
        <v>152</v>
      </c>
      <c r="AD12" t="s">
        <v>83</v>
      </c>
      <c r="AE12">
        <v>255</v>
      </c>
      <c r="AF12">
        <v>192</v>
      </c>
      <c r="AG12">
        <v>0</v>
      </c>
      <c r="AM12" t="s">
        <v>265</v>
      </c>
      <c r="AN12" t="s">
        <v>262</v>
      </c>
      <c r="AO12" t="s">
        <v>263</v>
      </c>
      <c r="AP12" t="s">
        <v>266</v>
      </c>
      <c r="AR12" t="s">
        <v>267</v>
      </c>
      <c r="AS12">
        <v>12</v>
      </c>
      <c r="AX12" t="s">
        <v>178</v>
      </c>
      <c r="AY12" t="s">
        <v>159</v>
      </c>
      <c r="AZ12" t="s">
        <v>179</v>
      </c>
      <c r="BA12" t="s">
        <v>169</v>
      </c>
      <c r="BB12" t="s">
        <v>180</v>
      </c>
    </row>
    <row r="13" spans="1:60" ht="30">
      <c r="A13" t="s">
        <v>23</v>
      </c>
      <c r="B13" t="s">
        <v>24</v>
      </c>
      <c r="C13" t="s">
        <v>25</v>
      </c>
      <c r="D13">
        <v>1</v>
      </c>
      <c r="E13">
        <v>0.2</v>
      </c>
      <c r="F13">
        <v>0.2</v>
      </c>
      <c r="G13">
        <v>0.2</v>
      </c>
      <c r="H13">
        <v>0.2</v>
      </c>
      <c r="I13">
        <v>0.2</v>
      </c>
      <c r="J13">
        <v>1</v>
      </c>
      <c r="K13" t="s">
        <v>100</v>
      </c>
      <c r="AD13" t="s">
        <v>79</v>
      </c>
      <c r="AE13">
        <v>115</v>
      </c>
      <c r="AF13">
        <v>253</v>
      </c>
      <c r="AG13">
        <v>214</v>
      </c>
      <c r="AM13" t="s">
        <v>265</v>
      </c>
      <c r="AN13" t="s">
        <v>262</v>
      </c>
      <c r="AO13" t="s">
        <v>268</v>
      </c>
      <c r="AP13" s="3" t="s">
        <v>1405</v>
      </c>
      <c r="AR13" t="s">
        <v>269</v>
      </c>
      <c r="AS13">
        <v>13</v>
      </c>
      <c r="AX13" t="s">
        <v>178</v>
      </c>
      <c r="AY13" t="s">
        <v>159</v>
      </c>
      <c r="AZ13" t="s">
        <v>181</v>
      </c>
      <c r="BA13" t="s">
        <v>159</v>
      </c>
      <c r="BB13">
        <v>0</v>
      </c>
      <c r="BH13" t="s">
        <v>13</v>
      </c>
    </row>
    <row r="14" spans="1:60">
      <c r="A14" t="s">
        <v>23</v>
      </c>
      <c r="B14" t="s">
        <v>24</v>
      </c>
      <c r="C14" t="s">
        <v>26</v>
      </c>
      <c r="D14">
        <v>1</v>
      </c>
      <c r="E14">
        <v>0.2</v>
      </c>
      <c r="F14">
        <v>0.2</v>
      </c>
      <c r="G14">
        <v>0.2</v>
      </c>
      <c r="H14">
        <v>0.2</v>
      </c>
      <c r="I14">
        <v>0.2</v>
      </c>
      <c r="J14">
        <v>1</v>
      </c>
      <c r="K14" t="s">
        <v>101</v>
      </c>
      <c r="AD14" t="s">
        <v>86</v>
      </c>
      <c r="AE14">
        <v>250</v>
      </c>
      <c r="AF14">
        <v>36</v>
      </c>
      <c r="AG14">
        <v>5</v>
      </c>
      <c r="AM14" t="s">
        <v>265</v>
      </c>
      <c r="AN14" t="s">
        <v>262</v>
      </c>
      <c r="AO14" t="s">
        <v>268</v>
      </c>
      <c r="AP14" t="s">
        <v>270</v>
      </c>
      <c r="AR14" t="s">
        <v>271</v>
      </c>
      <c r="AS14">
        <v>14</v>
      </c>
      <c r="AX14" t="s">
        <v>182</v>
      </c>
      <c r="AY14" t="s">
        <v>159</v>
      </c>
      <c r="AZ14" t="s">
        <v>179</v>
      </c>
      <c r="BA14" t="s">
        <v>169</v>
      </c>
      <c r="BB14" t="s">
        <v>180</v>
      </c>
    </row>
    <row r="15" spans="1:60">
      <c r="A15" t="s">
        <v>23</v>
      </c>
      <c r="B15" t="s">
        <v>27</v>
      </c>
      <c r="C15" t="s">
        <v>13</v>
      </c>
      <c r="D15">
        <v>1</v>
      </c>
      <c r="E15">
        <v>0.2</v>
      </c>
      <c r="F15">
        <v>0.2</v>
      </c>
      <c r="G15">
        <v>0.2</v>
      </c>
      <c r="H15">
        <v>0.2</v>
      </c>
      <c r="I15">
        <v>0.2</v>
      </c>
      <c r="J15">
        <v>1</v>
      </c>
      <c r="K15" t="s">
        <v>102</v>
      </c>
      <c r="AD15" t="s">
        <v>75</v>
      </c>
      <c r="AE15">
        <v>0</v>
      </c>
      <c r="AF15">
        <v>150</v>
      </c>
      <c r="AG15">
        <v>250</v>
      </c>
      <c r="AM15" t="s">
        <v>272</v>
      </c>
      <c r="AN15" t="s">
        <v>240</v>
      </c>
      <c r="AO15" t="s">
        <v>273</v>
      </c>
      <c r="AR15" t="s">
        <v>274</v>
      </c>
      <c r="AS15">
        <v>15</v>
      </c>
      <c r="AX15" t="s">
        <v>183</v>
      </c>
      <c r="AY15" t="s">
        <v>159</v>
      </c>
      <c r="AZ15" t="s">
        <v>184</v>
      </c>
      <c r="BA15" t="s">
        <v>159</v>
      </c>
      <c r="BB15">
        <v>0.8</v>
      </c>
    </row>
    <row r="16" spans="1:60">
      <c r="A16" t="s">
        <v>23</v>
      </c>
      <c r="B16" t="s">
        <v>28</v>
      </c>
      <c r="C16" t="s">
        <v>13</v>
      </c>
      <c r="D16">
        <v>1</v>
      </c>
      <c r="E16">
        <v>0.2</v>
      </c>
      <c r="F16">
        <v>0.2</v>
      </c>
      <c r="G16">
        <v>0.2</v>
      </c>
      <c r="H16">
        <v>0.2</v>
      </c>
      <c r="I16">
        <v>0.2</v>
      </c>
      <c r="J16">
        <v>1</v>
      </c>
      <c r="K16" t="s">
        <v>103</v>
      </c>
      <c r="AD16" t="s">
        <v>87</v>
      </c>
      <c r="AE16">
        <v>0</v>
      </c>
      <c r="AF16">
        <v>0</v>
      </c>
      <c r="AG16">
        <v>255</v>
      </c>
      <c r="AM16" t="s">
        <v>272</v>
      </c>
      <c r="AN16" t="s">
        <v>240</v>
      </c>
      <c r="AO16" t="s">
        <v>275</v>
      </c>
      <c r="AR16" t="s">
        <v>276</v>
      </c>
      <c r="AS16">
        <v>16</v>
      </c>
      <c r="AX16" t="s">
        <v>185</v>
      </c>
      <c r="AY16" t="s">
        <v>159</v>
      </c>
      <c r="AZ16" t="s">
        <v>184</v>
      </c>
      <c r="BA16" t="s">
        <v>159</v>
      </c>
      <c r="BB16">
        <v>0.8</v>
      </c>
    </row>
    <row r="17" spans="1:54" ht="45">
      <c r="A17" t="s">
        <v>23</v>
      </c>
      <c r="B17" t="s">
        <v>29</v>
      </c>
      <c r="C17" t="s">
        <v>13</v>
      </c>
      <c r="D17">
        <v>1</v>
      </c>
      <c r="E17">
        <v>0.2</v>
      </c>
      <c r="F17">
        <v>0.2</v>
      </c>
      <c r="G17">
        <v>0.2</v>
      </c>
      <c r="H17">
        <v>0.2</v>
      </c>
      <c r="I17">
        <v>0.2</v>
      </c>
      <c r="J17">
        <v>1</v>
      </c>
      <c r="K17" t="s">
        <v>104</v>
      </c>
      <c r="AD17" t="s">
        <v>91</v>
      </c>
      <c r="AE17">
        <v>0</v>
      </c>
      <c r="AF17">
        <v>0</v>
      </c>
      <c r="AG17">
        <v>153</v>
      </c>
      <c r="AM17" t="s">
        <v>277</v>
      </c>
      <c r="AN17" t="s">
        <v>245</v>
      </c>
      <c r="AO17" s="3" t="s">
        <v>1262</v>
      </c>
      <c r="AQ17" t="s">
        <v>278</v>
      </c>
      <c r="AR17" t="s">
        <v>279</v>
      </c>
      <c r="AS17">
        <v>17</v>
      </c>
      <c r="AX17" t="s">
        <v>186</v>
      </c>
      <c r="AY17" t="s">
        <v>159</v>
      </c>
      <c r="AZ17" t="s">
        <v>179</v>
      </c>
      <c r="BA17" t="s">
        <v>159</v>
      </c>
      <c r="BB17" t="s">
        <v>179</v>
      </c>
    </row>
    <row r="18" spans="1:54">
      <c r="A18" t="s">
        <v>23</v>
      </c>
      <c r="B18" t="s">
        <v>30</v>
      </c>
      <c r="C18" t="s">
        <v>13</v>
      </c>
      <c r="D18">
        <v>1</v>
      </c>
      <c r="E18">
        <v>0.2</v>
      </c>
      <c r="F18">
        <v>0.2</v>
      </c>
      <c r="G18">
        <v>0.2</v>
      </c>
      <c r="H18">
        <v>0.2</v>
      </c>
      <c r="I18">
        <v>0.2</v>
      </c>
      <c r="J18">
        <v>1</v>
      </c>
      <c r="K18" t="s">
        <v>105</v>
      </c>
      <c r="AM18" t="s">
        <v>280</v>
      </c>
      <c r="AN18" t="s">
        <v>245</v>
      </c>
      <c r="AO18" t="s">
        <v>153</v>
      </c>
      <c r="AP18" t="s">
        <v>5</v>
      </c>
      <c r="AQ18" t="s">
        <v>278</v>
      </c>
      <c r="AR18" t="s">
        <v>281</v>
      </c>
      <c r="AS18">
        <v>18</v>
      </c>
      <c r="AX18" t="s">
        <v>186</v>
      </c>
      <c r="AY18" t="s">
        <v>159</v>
      </c>
      <c r="AZ18" t="s">
        <v>181</v>
      </c>
      <c r="BA18" t="s">
        <v>159</v>
      </c>
      <c r="BB18" t="s">
        <v>181</v>
      </c>
    </row>
    <row r="19" spans="1:54">
      <c r="A19" t="s">
        <v>23</v>
      </c>
      <c r="B19" t="s">
        <v>30</v>
      </c>
      <c r="C19" t="s">
        <v>31</v>
      </c>
      <c r="D19">
        <v>1</v>
      </c>
      <c r="E19">
        <v>0.2</v>
      </c>
      <c r="F19">
        <v>0.2</v>
      </c>
      <c r="G19">
        <v>0.2</v>
      </c>
      <c r="H19">
        <v>0.2</v>
      </c>
      <c r="I19">
        <v>0.2</v>
      </c>
      <c r="J19">
        <v>1</v>
      </c>
      <c r="K19" t="s">
        <v>106</v>
      </c>
      <c r="AM19" t="s">
        <v>280</v>
      </c>
      <c r="AN19" t="s">
        <v>245</v>
      </c>
      <c r="AO19" t="s">
        <v>153</v>
      </c>
      <c r="AP19" t="s">
        <v>6</v>
      </c>
      <c r="AQ19" t="s">
        <v>278</v>
      </c>
      <c r="AR19" t="s">
        <v>282</v>
      </c>
      <c r="AS19">
        <v>19</v>
      </c>
      <c r="AX19" t="s">
        <v>187</v>
      </c>
      <c r="AY19" t="s">
        <v>159</v>
      </c>
      <c r="AZ19" t="s">
        <v>167</v>
      </c>
      <c r="BA19" t="s">
        <v>169</v>
      </c>
      <c r="BB19">
        <v>1</v>
      </c>
    </row>
    <row r="20" spans="1:54">
      <c r="A20" t="s">
        <v>23</v>
      </c>
      <c r="B20" t="s">
        <v>30</v>
      </c>
      <c r="C20" t="s">
        <v>32</v>
      </c>
      <c r="D20">
        <v>1</v>
      </c>
      <c r="E20">
        <v>0.2</v>
      </c>
      <c r="F20">
        <v>0.2</v>
      </c>
      <c r="G20">
        <v>0.2</v>
      </c>
      <c r="H20">
        <v>0.2</v>
      </c>
      <c r="I20">
        <v>0.2</v>
      </c>
      <c r="J20">
        <v>1</v>
      </c>
      <c r="K20" t="s">
        <v>107</v>
      </c>
      <c r="AM20" t="s">
        <v>280</v>
      </c>
      <c r="AN20" t="s">
        <v>245</v>
      </c>
      <c r="AO20" t="s">
        <v>153</v>
      </c>
      <c r="AP20" t="s">
        <v>7</v>
      </c>
      <c r="AQ20" t="s">
        <v>278</v>
      </c>
      <c r="AR20" t="s">
        <v>283</v>
      </c>
      <c r="AS20">
        <v>20</v>
      </c>
      <c r="AX20" t="s">
        <v>188</v>
      </c>
      <c r="AY20" t="s">
        <v>159</v>
      </c>
      <c r="AZ20" t="s">
        <v>167</v>
      </c>
      <c r="BA20" t="s">
        <v>169</v>
      </c>
      <c r="BB20">
        <v>1</v>
      </c>
    </row>
    <row r="21" spans="1:54">
      <c r="A21" t="s">
        <v>23</v>
      </c>
      <c r="B21" t="s">
        <v>30</v>
      </c>
      <c r="C21" t="s">
        <v>33</v>
      </c>
      <c r="D21">
        <v>1</v>
      </c>
      <c r="E21">
        <v>0.2</v>
      </c>
      <c r="F21">
        <v>0.2</v>
      </c>
      <c r="G21">
        <v>0.2</v>
      </c>
      <c r="H21">
        <v>0.2</v>
      </c>
      <c r="I21">
        <v>0.2</v>
      </c>
      <c r="J21">
        <v>1</v>
      </c>
      <c r="K21" t="s">
        <v>108</v>
      </c>
      <c r="AM21" t="s">
        <v>280</v>
      </c>
      <c r="AN21" t="s">
        <v>245</v>
      </c>
      <c r="AO21" t="s">
        <v>153</v>
      </c>
      <c r="AP21" t="s">
        <v>284</v>
      </c>
      <c r="AQ21" t="s">
        <v>278</v>
      </c>
      <c r="AR21" t="s">
        <v>285</v>
      </c>
      <c r="AS21">
        <v>21</v>
      </c>
      <c r="AX21" t="s">
        <v>189</v>
      </c>
      <c r="AY21" t="s">
        <v>159</v>
      </c>
      <c r="AZ21" t="s">
        <v>160</v>
      </c>
      <c r="BA21" t="s">
        <v>161</v>
      </c>
      <c r="BB21" t="s">
        <v>190</v>
      </c>
    </row>
    <row r="22" spans="1:54">
      <c r="A22" t="s">
        <v>23</v>
      </c>
      <c r="B22" t="s">
        <v>30</v>
      </c>
      <c r="C22" t="s">
        <v>34</v>
      </c>
      <c r="D22">
        <v>1</v>
      </c>
      <c r="E22">
        <v>0.2</v>
      </c>
      <c r="F22">
        <v>0.2</v>
      </c>
      <c r="G22">
        <v>0.2</v>
      </c>
      <c r="H22">
        <v>0.2</v>
      </c>
      <c r="I22">
        <v>0.2</v>
      </c>
      <c r="J22">
        <v>1</v>
      </c>
      <c r="K22" t="s">
        <v>109</v>
      </c>
      <c r="AM22" t="s">
        <v>280</v>
      </c>
      <c r="AN22" t="s">
        <v>245</v>
      </c>
      <c r="AO22" t="s">
        <v>153</v>
      </c>
      <c r="AP22" t="s">
        <v>286</v>
      </c>
      <c r="AQ22" t="s">
        <v>278</v>
      </c>
      <c r="AR22" t="s">
        <v>287</v>
      </c>
      <c r="AS22">
        <v>22</v>
      </c>
      <c r="AX22" t="s">
        <v>191</v>
      </c>
      <c r="AY22" t="s">
        <v>159</v>
      </c>
      <c r="AZ22" t="s">
        <v>163</v>
      </c>
      <c r="BA22" t="s">
        <v>161</v>
      </c>
      <c r="BB22" t="s">
        <v>190</v>
      </c>
    </row>
    <row r="23" spans="1:54" ht="45">
      <c r="A23" t="s">
        <v>23</v>
      </c>
      <c r="B23" t="s">
        <v>30</v>
      </c>
      <c r="C23" t="s">
        <v>35</v>
      </c>
      <c r="D23">
        <v>1</v>
      </c>
      <c r="E23">
        <v>0.2</v>
      </c>
      <c r="F23">
        <v>0.2</v>
      </c>
      <c r="G23">
        <v>0.2</v>
      </c>
      <c r="H23">
        <v>0.2</v>
      </c>
      <c r="I23">
        <v>0.2</v>
      </c>
      <c r="J23">
        <v>1</v>
      </c>
      <c r="K23" t="s">
        <v>110</v>
      </c>
      <c r="AM23" t="s">
        <v>288</v>
      </c>
      <c r="AN23" s="3" t="s">
        <v>1277</v>
      </c>
      <c r="AQ23" t="s">
        <v>278</v>
      </c>
      <c r="AR23" t="s">
        <v>210</v>
      </c>
      <c r="AS23">
        <v>18</v>
      </c>
      <c r="AT23" t="s">
        <v>289</v>
      </c>
      <c r="AX23" t="s">
        <v>192</v>
      </c>
      <c r="AY23" t="s">
        <v>159</v>
      </c>
      <c r="AZ23" t="s">
        <v>165</v>
      </c>
      <c r="BA23" t="s">
        <v>161</v>
      </c>
      <c r="BB23" t="s">
        <v>190</v>
      </c>
    </row>
    <row r="24" spans="1:54">
      <c r="A24" t="s">
        <v>23</v>
      </c>
      <c r="B24" t="s">
        <v>30</v>
      </c>
      <c r="C24" t="s">
        <v>36</v>
      </c>
      <c r="D24">
        <v>1</v>
      </c>
      <c r="E24">
        <v>0.2</v>
      </c>
      <c r="F24">
        <v>0.2</v>
      </c>
      <c r="G24">
        <v>0.2</v>
      </c>
      <c r="H24">
        <v>0.2</v>
      </c>
      <c r="I24">
        <v>0.2</v>
      </c>
      <c r="J24">
        <v>1</v>
      </c>
      <c r="K24" t="s">
        <v>111</v>
      </c>
      <c r="AM24" t="s">
        <v>290</v>
      </c>
      <c r="AN24" t="s">
        <v>291</v>
      </c>
      <c r="AO24" s="3" t="s">
        <v>1407</v>
      </c>
      <c r="AQ24" t="s">
        <v>292</v>
      </c>
      <c r="AR24" t="s">
        <v>293</v>
      </c>
      <c r="AS24">
        <v>19</v>
      </c>
      <c r="AT24" t="s">
        <v>289</v>
      </c>
      <c r="AX24" t="s">
        <v>187</v>
      </c>
      <c r="AY24" t="s">
        <v>159</v>
      </c>
      <c r="AZ24" t="s">
        <v>167</v>
      </c>
      <c r="BA24" t="s">
        <v>161</v>
      </c>
      <c r="BB24" t="s">
        <v>190</v>
      </c>
    </row>
    <row r="25" spans="1:54" ht="30">
      <c r="A25" t="s">
        <v>37</v>
      </c>
      <c r="B25" t="s">
        <v>38</v>
      </c>
      <c r="C25" t="s">
        <v>13</v>
      </c>
      <c r="D25">
        <v>1</v>
      </c>
      <c r="E25">
        <v>0.2</v>
      </c>
      <c r="F25">
        <v>0.2</v>
      </c>
      <c r="G25">
        <v>0.2</v>
      </c>
      <c r="H25">
        <v>0.2</v>
      </c>
      <c r="I25">
        <v>0.2</v>
      </c>
      <c r="J25">
        <v>1</v>
      </c>
      <c r="K25" t="s">
        <v>112</v>
      </c>
      <c r="AM25" t="s">
        <v>290</v>
      </c>
      <c r="AN25" t="s">
        <v>291</v>
      </c>
      <c r="AO25" s="3" t="s">
        <v>1409</v>
      </c>
      <c r="AQ25" t="s">
        <v>278</v>
      </c>
      <c r="AR25" t="s">
        <v>184</v>
      </c>
      <c r="AS25">
        <v>20</v>
      </c>
      <c r="AT25" t="s">
        <v>289</v>
      </c>
      <c r="AX25" t="s">
        <v>193</v>
      </c>
      <c r="AY25" t="s">
        <v>159</v>
      </c>
      <c r="AZ25" t="s">
        <v>163</v>
      </c>
      <c r="BA25" t="s">
        <v>161</v>
      </c>
      <c r="BB25">
        <v>0</v>
      </c>
    </row>
    <row r="26" spans="1:54">
      <c r="A26" t="s">
        <v>37</v>
      </c>
      <c r="B26" t="s">
        <v>38</v>
      </c>
      <c r="C26" t="s">
        <v>39</v>
      </c>
      <c r="D26">
        <v>1</v>
      </c>
      <c r="E26">
        <v>0.2</v>
      </c>
      <c r="F26">
        <v>0.2</v>
      </c>
      <c r="G26">
        <v>0.2</v>
      </c>
      <c r="H26">
        <v>0.2</v>
      </c>
      <c r="I26">
        <v>0.2</v>
      </c>
      <c r="J26">
        <v>1</v>
      </c>
      <c r="K26" t="s">
        <v>113</v>
      </c>
      <c r="AM26" t="s">
        <v>294</v>
      </c>
      <c r="AN26" t="s">
        <v>295</v>
      </c>
      <c r="AO26" t="s">
        <v>296</v>
      </c>
      <c r="AP26" s="3" t="s">
        <v>1411</v>
      </c>
      <c r="AQ26" t="s">
        <v>292</v>
      </c>
      <c r="AR26" t="s">
        <v>179</v>
      </c>
      <c r="AS26">
        <v>21</v>
      </c>
      <c r="AT26" t="s">
        <v>289</v>
      </c>
      <c r="AX26" t="s">
        <v>194</v>
      </c>
      <c r="AY26" t="s">
        <v>159</v>
      </c>
      <c r="AZ26" t="s">
        <v>165</v>
      </c>
      <c r="BA26" t="s">
        <v>161</v>
      </c>
      <c r="BB26">
        <v>0</v>
      </c>
    </row>
    <row r="27" spans="1:54">
      <c r="A27" t="s">
        <v>37</v>
      </c>
      <c r="B27" t="s">
        <v>38</v>
      </c>
      <c r="C27" t="s">
        <v>40</v>
      </c>
      <c r="D27">
        <v>1</v>
      </c>
      <c r="E27">
        <v>0.2</v>
      </c>
      <c r="F27">
        <v>0.2</v>
      </c>
      <c r="G27">
        <v>0.2</v>
      </c>
      <c r="H27">
        <v>0.2</v>
      </c>
      <c r="I27">
        <v>0.2</v>
      </c>
      <c r="J27">
        <v>1</v>
      </c>
      <c r="K27" t="s">
        <v>114</v>
      </c>
      <c r="AM27" t="s">
        <v>294</v>
      </c>
      <c r="AN27" t="s">
        <v>295</v>
      </c>
      <c r="AO27" t="s">
        <v>296</v>
      </c>
      <c r="AP27" s="3" t="s">
        <v>1413</v>
      </c>
      <c r="AQ27" t="s">
        <v>292</v>
      </c>
      <c r="AR27" t="s">
        <v>297</v>
      </c>
      <c r="AS27">
        <v>22</v>
      </c>
      <c r="AT27" t="s">
        <v>289</v>
      </c>
      <c r="AX27" t="s">
        <v>195</v>
      </c>
      <c r="AY27" t="s">
        <v>159</v>
      </c>
      <c r="AZ27" t="s">
        <v>160</v>
      </c>
      <c r="BA27" t="s">
        <v>161</v>
      </c>
      <c r="BB27" t="s">
        <v>190</v>
      </c>
    </row>
    <row r="28" spans="1:54">
      <c r="A28" t="s">
        <v>37</v>
      </c>
      <c r="B28" t="s">
        <v>38</v>
      </c>
      <c r="C28" t="s">
        <v>41</v>
      </c>
      <c r="D28">
        <v>1</v>
      </c>
      <c r="E28">
        <v>0.2</v>
      </c>
      <c r="F28">
        <v>0.2</v>
      </c>
      <c r="G28">
        <v>0.2</v>
      </c>
      <c r="H28">
        <v>0.2</v>
      </c>
      <c r="I28">
        <v>0.2</v>
      </c>
      <c r="J28">
        <v>1</v>
      </c>
      <c r="K28" t="s">
        <v>115</v>
      </c>
      <c r="AM28" t="s">
        <v>294</v>
      </c>
      <c r="AN28" t="s">
        <v>295</v>
      </c>
      <c r="AO28" t="s">
        <v>298</v>
      </c>
      <c r="AP28" s="3" t="s">
        <v>1411</v>
      </c>
      <c r="AQ28" t="s">
        <v>292</v>
      </c>
      <c r="AR28" t="s">
        <v>181</v>
      </c>
      <c r="AS28">
        <v>23</v>
      </c>
      <c r="AT28" t="s">
        <v>289</v>
      </c>
      <c r="AX28" t="s">
        <v>196</v>
      </c>
      <c r="AY28" t="s">
        <v>159</v>
      </c>
      <c r="AZ28" t="s">
        <v>163</v>
      </c>
      <c r="BA28" t="s">
        <v>161</v>
      </c>
      <c r="BB28" t="s">
        <v>190</v>
      </c>
    </row>
    <row r="29" spans="1:54">
      <c r="A29" t="s">
        <v>37</v>
      </c>
      <c r="B29" t="s">
        <v>38</v>
      </c>
      <c r="C29" t="s">
        <v>42</v>
      </c>
      <c r="D29">
        <v>1</v>
      </c>
      <c r="E29">
        <v>0.2</v>
      </c>
      <c r="F29">
        <v>0.2</v>
      </c>
      <c r="G29">
        <v>0.2</v>
      </c>
      <c r="H29">
        <v>0.2</v>
      </c>
      <c r="I29">
        <v>0.2</v>
      </c>
      <c r="J29">
        <v>1</v>
      </c>
      <c r="K29" t="s">
        <v>116</v>
      </c>
      <c r="AM29" t="s">
        <v>294</v>
      </c>
      <c r="AN29" t="s">
        <v>295</v>
      </c>
      <c r="AO29" t="s">
        <v>298</v>
      </c>
      <c r="AP29" s="3" t="s">
        <v>1413</v>
      </c>
      <c r="AQ29" t="s">
        <v>292</v>
      </c>
      <c r="AR29" t="s">
        <v>299</v>
      </c>
      <c r="AS29">
        <v>24</v>
      </c>
      <c r="AT29" t="s">
        <v>289</v>
      </c>
      <c r="AX29" t="s">
        <v>197</v>
      </c>
      <c r="AY29" t="s">
        <v>159</v>
      </c>
      <c r="AZ29" t="s">
        <v>165</v>
      </c>
      <c r="BA29" t="s">
        <v>161</v>
      </c>
      <c r="BB29" t="s">
        <v>190</v>
      </c>
    </row>
    <row r="30" spans="1:54">
      <c r="A30" t="s">
        <v>37</v>
      </c>
      <c r="B30" t="s">
        <v>38</v>
      </c>
      <c r="C30" t="s">
        <v>43</v>
      </c>
      <c r="D30">
        <v>1</v>
      </c>
      <c r="E30">
        <v>0.2</v>
      </c>
      <c r="F30">
        <v>0.2</v>
      </c>
      <c r="G30">
        <v>0.2</v>
      </c>
      <c r="H30">
        <v>0.2</v>
      </c>
      <c r="I30">
        <v>0.2</v>
      </c>
      <c r="J30">
        <v>1</v>
      </c>
      <c r="K30" t="s">
        <v>117</v>
      </c>
      <c r="AM30" t="s">
        <v>300</v>
      </c>
      <c r="AN30" t="s">
        <v>8</v>
      </c>
      <c r="AO30" t="s">
        <v>301</v>
      </c>
      <c r="AP30" s="3" t="s">
        <v>257</v>
      </c>
      <c r="AQ30" t="s">
        <v>292</v>
      </c>
      <c r="AR30" t="s">
        <v>160</v>
      </c>
      <c r="AS30">
        <v>25</v>
      </c>
      <c r="AT30" t="s">
        <v>289</v>
      </c>
      <c r="AX30" t="s">
        <v>188</v>
      </c>
      <c r="AY30" t="s">
        <v>159</v>
      </c>
      <c r="AZ30" t="s">
        <v>167</v>
      </c>
      <c r="BA30" t="s">
        <v>161</v>
      </c>
      <c r="BB30" t="s">
        <v>190</v>
      </c>
    </row>
    <row r="31" spans="1:54">
      <c r="A31" t="s">
        <v>37</v>
      </c>
      <c r="B31" t="s">
        <v>44</v>
      </c>
      <c r="C31" t="s">
        <v>13</v>
      </c>
      <c r="D31">
        <v>1</v>
      </c>
      <c r="J31">
        <v>1</v>
      </c>
      <c r="K31" t="s">
        <v>118</v>
      </c>
      <c r="AM31" t="s">
        <v>300</v>
      </c>
      <c r="AN31" t="s">
        <v>8</v>
      </c>
      <c r="AO31" t="s">
        <v>301</v>
      </c>
      <c r="AP31" s="3" t="s">
        <v>1418</v>
      </c>
      <c r="AQ31" t="s">
        <v>302</v>
      </c>
      <c r="AR31" t="s">
        <v>163</v>
      </c>
      <c r="AS31">
        <v>26</v>
      </c>
      <c r="AT31" t="s">
        <v>289</v>
      </c>
      <c r="AX31" t="s">
        <v>198</v>
      </c>
      <c r="AY31" t="s">
        <v>159</v>
      </c>
      <c r="AZ31" t="s">
        <v>163</v>
      </c>
      <c r="BA31" t="s">
        <v>161</v>
      </c>
      <c r="BB31">
        <v>0</v>
      </c>
    </row>
    <row r="32" spans="1:54" ht="30">
      <c r="A32" t="s">
        <v>37</v>
      </c>
      <c r="B32" t="s">
        <v>44</v>
      </c>
      <c r="C32" t="s">
        <v>45</v>
      </c>
      <c r="D32">
        <v>1</v>
      </c>
      <c r="E32">
        <v>0.2</v>
      </c>
      <c r="F32">
        <v>0.2</v>
      </c>
      <c r="G32">
        <v>0.2</v>
      </c>
      <c r="H32">
        <v>0.2</v>
      </c>
      <c r="I32">
        <v>0.2</v>
      </c>
      <c r="J32">
        <v>1</v>
      </c>
      <c r="K32" t="s">
        <v>119</v>
      </c>
      <c r="AM32" t="s">
        <v>300</v>
      </c>
      <c r="AN32" t="s">
        <v>8</v>
      </c>
      <c r="AO32" t="s">
        <v>301</v>
      </c>
      <c r="AP32" s="3" t="s">
        <v>1420</v>
      </c>
      <c r="AQ32" t="s">
        <v>303</v>
      </c>
      <c r="AR32" t="s">
        <v>165</v>
      </c>
      <c r="AS32">
        <v>27</v>
      </c>
      <c r="AT32" t="s">
        <v>289</v>
      </c>
      <c r="AX32" t="s">
        <v>199</v>
      </c>
      <c r="AY32" t="s">
        <v>159</v>
      </c>
      <c r="AZ32" t="s">
        <v>165</v>
      </c>
      <c r="BA32" t="s">
        <v>161</v>
      </c>
      <c r="BB32">
        <v>0</v>
      </c>
    </row>
    <row r="33" spans="1:54" ht="30">
      <c r="A33" t="s">
        <v>37</v>
      </c>
      <c r="B33" t="s">
        <v>44</v>
      </c>
      <c r="C33" t="s">
        <v>46</v>
      </c>
      <c r="D33">
        <v>1</v>
      </c>
      <c r="E33">
        <v>0</v>
      </c>
      <c r="F33">
        <v>0</v>
      </c>
      <c r="G33">
        <v>1</v>
      </c>
      <c r="H33">
        <v>0</v>
      </c>
      <c r="I33">
        <v>0</v>
      </c>
      <c r="J33">
        <v>1</v>
      </c>
      <c r="K33" t="s">
        <v>120</v>
      </c>
      <c r="AM33" t="s">
        <v>304</v>
      </c>
      <c r="AN33" t="s">
        <v>8</v>
      </c>
      <c r="AO33" s="3" t="s">
        <v>1274</v>
      </c>
      <c r="AQ33" t="s">
        <v>278</v>
      </c>
      <c r="AR33" t="s">
        <v>167</v>
      </c>
      <c r="AS33">
        <v>28</v>
      </c>
      <c r="AT33" t="s">
        <v>289</v>
      </c>
      <c r="AX33" t="s">
        <v>200</v>
      </c>
      <c r="AY33" t="s">
        <v>159</v>
      </c>
      <c r="AZ33" t="s">
        <v>160</v>
      </c>
      <c r="BA33" t="s">
        <v>161</v>
      </c>
      <c r="BB33">
        <v>0</v>
      </c>
    </row>
    <row r="34" spans="1:54">
      <c r="A34" t="s">
        <v>37</v>
      </c>
      <c r="B34" t="s">
        <v>44</v>
      </c>
      <c r="C34" t="s">
        <v>47</v>
      </c>
      <c r="D34">
        <v>1</v>
      </c>
      <c r="E34">
        <v>0.3</v>
      </c>
      <c r="F34">
        <v>0.3</v>
      </c>
      <c r="G34">
        <v>0.3</v>
      </c>
      <c r="H34">
        <v>0</v>
      </c>
      <c r="I34">
        <v>0.1</v>
      </c>
      <c r="J34">
        <v>1</v>
      </c>
      <c r="K34" t="s">
        <v>121</v>
      </c>
      <c r="AX34" t="s">
        <v>200</v>
      </c>
      <c r="AY34" t="s">
        <v>159</v>
      </c>
      <c r="AZ34" t="s">
        <v>163</v>
      </c>
      <c r="BA34" t="s">
        <v>161</v>
      </c>
      <c r="BB34">
        <v>0</v>
      </c>
    </row>
    <row r="35" spans="1:54">
      <c r="A35" t="s">
        <v>37</v>
      </c>
      <c r="B35" t="s">
        <v>44</v>
      </c>
      <c r="C35" t="s">
        <v>48</v>
      </c>
      <c r="D35">
        <v>1</v>
      </c>
      <c r="E35">
        <v>0.3</v>
      </c>
      <c r="F35">
        <v>0.3</v>
      </c>
      <c r="G35">
        <v>0.3</v>
      </c>
      <c r="H35">
        <v>0</v>
      </c>
      <c r="I35">
        <v>0.1</v>
      </c>
      <c r="J35">
        <v>1</v>
      </c>
      <c r="K35" t="s">
        <v>122</v>
      </c>
      <c r="AX35" t="s">
        <v>200</v>
      </c>
      <c r="AY35" t="s">
        <v>159</v>
      </c>
      <c r="AZ35" t="s">
        <v>165</v>
      </c>
      <c r="BA35" t="s">
        <v>161</v>
      </c>
      <c r="BB35">
        <v>0</v>
      </c>
    </row>
    <row r="36" spans="1:54">
      <c r="A36" t="s">
        <v>37</v>
      </c>
      <c r="B36" t="s">
        <v>44</v>
      </c>
      <c r="C36" t="s">
        <v>49</v>
      </c>
      <c r="D36">
        <v>1</v>
      </c>
      <c r="E36">
        <v>0</v>
      </c>
      <c r="F36">
        <v>0</v>
      </c>
      <c r="G36">
        <v>0</v>
      </c>
      <c r="H36">
        <v>0.5</v>
      </c>
      <c r="I36">
        <v>0.5</v>
      </c>
      <c r="J36">
        <v>1</v>
      </c>
      <c r="K36" t="s">
        <v>123</v>
      </c>
      <c r="AX36" t="s">
        <v>201</v>
      </c>
      <c r="AY36" t="s">
        <v>159</v>
      </c>
      <c r="AZ36" t="s">
        <v>163</v>
      </c>
      <c r="BA36" t="s">
        <v>161</v>
      </c>
      <c r="BB36">
        <v>0</v>
      </c>
    </row>
    <row r="37" spans="1:54">
      <c r="A37" t="s">
        <v>37</v>
      </c>
      <c r="B37" t="s">
        <v>44</v>
      </c>
      <c r="C37" t="s">
        <v>50</v>
      </c>
      <c r="D37">
        <v>1</v>
      </c>
      <c r="E37">
        <v>0</v>
      </c>
      <c r="F37">
        <v>0</v>
      </c>
      <c r="G37">
        <v>1</v>
      </c>
      <c r="H37">
        <v>0</v>
      </c>
      <c r="I37">
        <v>0</v>
      </c>
      <c r="J37">
        <v>1</v>
      </c>
      <c r="K37" t="s">
        <v>124</v>
      </c>
      <c r="AX37" t="s">
        <v>202</v>
      </c>
      <c r="AY37" t="s">
        <v>159</v>
      </c>
      <c r="AZ37" t="s">
        <v>165</v>
      </c>
      <c r="BA37" t="s">
        <v>161</v>
      </c>
      <c r="BB37">
        <v>0</v>
      </c>
    </row>
    <row r="38" spans="1:54">
      <c r="A38" t="s">
        <v>37</v>
      </c>
      <c r="B38" t="s">
        <v>44</v>
      </c>
      <c r="C38" t="s">
        <v>51</v>
      </c>
      <c r="D38">
        <v>1</v>
      </c>
      <c r="E38">
        <v>0</v>
      </c>
      <c r="F38">
        <v>0</v>
      </c>
      <c r="G38">
        <v>0</v>
      </c>
      <c r="H38">
        <v>0</v>
      </c>
      <c r="I38">
        <v>1</v>
      </c>
      <c r="J38">
        <v>1</v>
      </c>
      <c r="K38" t="s">
        <v>125</v>
      </c>
      <c r="AX38" t="s">
        <v>203</v>
      </c>
      <c r="AY38" t="s">
        <v>159</v>
      </c>
      <c r="AZ38" t="s">
        <v>163</v>
      </c>
      <c r="BA38" t="s">
        <v>161</v>
      </c>
      <c r="BB38" t="s">
        <v>190</v>
      </c>
    </row>
    <row r="39" spans="1:54">
      <c r="A39" t="s">
        <v>37</v>
      </c>
      <c r="B39" t="s">
        <v>44</v>
      </c>
      <c r="C39" t="s">
        <v>52</v>
      </c>
      <c r="D39">
        <v>1</v>
      </c>
      <c r="E39">
        <v>0</v>
      </c>
      <c r="F39">
        <v>0</v>
      </c>
      <c r="G39">
        <v>0</v>
      </c>
      <c r="H39">
        <v>0</v>
      </c>
      <c r="I39">
        <v>1</v>
      </c>
      <c r="J39">
        <v>1</v>
      </c>
      <c r="K39" t="s">
        <v>126</v>
      </c>
      <c r="AX39" t="s">
        <v>203</v>
      </c>
      <c r="AY39" t="s">
        <v>159</v>
      </c>
      <c r="AZ39" t="s">
        <v>165</v>
      </c>
      <c r="BA39" t="s">
        <v>161</v>
      </c>
      <c r="BB39" t="s">
        <v>190</v>
      </c>
    </row>
    <row r="40" spans="1:54">
      <c r="A40" t="s">
        <v>37</v>
      </c>
      <c r="B40" t="s">
        <v>44</v>
      </c>
      <c r="C40" t="s">
        <v>53</v>
      </c>
      <c r="D40">
        <v>1</v>
      </c>
      <c r="E40">
        <v>0</v>
      </c>
      <c r="F40">
        <v>0</v>
      </c>
      <c r="G40">
        <v>0</v>
      </c>
      <c r="H40">
        <v>0</v>
      </c>
      <c r="I40">
        <v>1</v>
      </c>
      <c r="J40">
        <v>1</v>
      </c>
      <c r="K40" t="s">
        <v>127</v>
      </c>
      <c r="AX40" t="s">
        <v>204</v>
      </c>
      <c r="AY40" t="s">
        <v>159</v>
      </c>
      <c r="AZ40" t="s">
        <v>163</v>
      </c>
      <c r="BA40" t="s">
        <v>161</v>
      </c>
      <c r="BB40" t="s">
        <v>190</v>
      </c>
    </row>
    <row r="41" spans="1:54">
      <c r="A41" t="s">
        <v>37</v>
      </c>
      <c r="B41" t="s">
        <v>44</v>
      </c>
      <c r="C41" t="s">
        <v>54</v>
      </c>
      <c r="D41">
        <v>1</v>
      </c>
      <c r="J41">
        <v>1</v>
      </c>
      <c r="K41" t="s">
        <v>128</v>
      </c>
      <c r="AX41" t="s">
        <v>204</v>
      </c>
      <c r="AY41" t="s">
        <v>159</v>
      </c>
      <c r="AZ41" t="s">
        <v>165</v>
      </c>
      <c r="BA41" t="s">
        <v>161</v>
      </c>
      <c r="BB41" t="s">
        <v>190</v>
      </c>
    </row>
    <row r="42" spans="1:54">
      <c r="A42" t="s">
        <v>37</v>
      </c>
      <c r="B42" t="s">
        <v>44</v>
      </c>
      <c r="C42" t="s">
        <v>55</v>
      </c>
      <c r="D42">
        <v>1</v>
      </c>
      <c r="J42">
        <v>1</v>
      </c>
      <c r="K42" t="s">
        <v>129</v>
      </c>
      <c r="AX42" t="s">
        <v>189</v>
      </c>
      <c r="AY42" t="s">
        <v>159</v>
      </c>
      <c r="AZ42" t="s">
        <v>160</v>
      </c>
      <c r="BA42" t="s">
        <v>169</v>
      </c>
    </row>
    <row r="43" spans="1:54">
      <c r="A43" t="s">
        <v>37</v>
      </c>
      <c r="B43" t="s">
        <v>44</v>
      </c>
      <c r="C43" t="s">
        <v>40</v>
      </c>
      <c r="D43">
        <v>1</v>
      </c>
      <c r="J43">
        <v>1</v>
      </c>
      <c r="K43" t="s">
        <v>130</v>
      </c>
      <c r="AX43" t="s">
        <v>205</v>
      </c>
      <c r="AY43" t="s">
        <v>159</v>
      </c>
      <c r="AZ43" t="s">
        <v>163</v>
      </c>
      <c r="BA43" t="s">
        <v>169</v>
      </c>
    </row>
    <row r="44" spans="1:54">
      <c r="A44" t="s">
        <v>37</v>
      </c>
      <c r="B44" t="s">
        <v>44</v>
      </c>
      <c r="C44" t="s">
        <v>56</v>
      </c>
      <c r="D44">
        <v>1</v>
      </c>
      <c r="J44">
        <v>1</v>
      </c>
      <c r="K44" t="s">
        <v>131</v>
      </c>
      <c r="AX44" t="s">
        <v>206</v>
      </c>
      <c r="AY44" t="s">
        <v>159</v>
      </c>
      <c r="AZ44" t="s">
        <v>165</v>
      </c>
      <c r="BA44" t="s">
        <v>169</v>
      </c>
    </row>
    <row r="45" spans="1:54">
      <c r="A45" t="s">
        <v>37</v>
      </c>
      <c r="B45" t="s">
        <v>44</v>
      </c>
      <c r="C45" t="s">
        <v>57</v>
      </c>
      <c r="D45">
        <v>1</v>
      </c>
      <c r="J45">
        <v>1</v>
      </c>
      <c r="K45" t="s">
        <v>132</v>
      </c>
      <c r="AX45" t="s">
        <v>187</v>
      </c>
      <c r="AY45" t="s">
        <v>159</v>
      </c>
      <c r="AZ45" t="s">
        <v>167</v>
      </c>
      <c r="BA45" t="s">
        <v>169</v>
      </c>
    </row>
    <row r="46" spans="1:54">
      <c r="A46" t="s">
        <v>37</v>
      </c>
      <c r="B46" t="s">
        <v>44</v>
      </c>
      <c r="C46" t="s">
        <v>58</v>
      </c>
      <c r="D46">
        <v>1</v>
      </c>
      <c r="E46">
        <v>0</v>
      </c>
      <c r="F46">
        <v>0</v>
      </c>
      <c r="G46">
        <v>1</v>
      </c>
      <c r="H46">
        <v>0</v>
      </c>
      <c r="I46">
        <v>0</v>
      </c>
      <c r="J46">
        <v>1</v>
      </c>
      <c r="K46" t="s">
        <v>133</v>
      </c>
      <c r="AX46" t="s">
        <v>195</v>
      </c>
      <c r="AY46" t="s">
        <v>159</v>
      </c>
      <c r="AZ46" t="s">
        <v>160</v>
      </c>
      <c r="BA46" t="s">
        <v>169</v>
      </c>
    </row>
    <row r="47" spans="1:54">
      <c r="A47" t="s">
        <v>37</v>
      </c>
      <c r="B47" t="s">
        <v>44</v>
      </c>
      <c r="C47" t="s">
        <v>59</v>
      </c>
      <c r="D47">
        <v>1</v>
      </c>
      <c r="E47">
        <v>0.2</v>
      </c>
      <c r="F47">
        <v>0.2</v>
      </c>
      <c r="G47">
        <v>0.2</v>
      </c>
      <c r="H47">
        <v>0.2</v>
      </c>
      <c r="I47">
        <v>0.2</v>
      </c>
      <c r="J47">
        <v>1</v>
      </c>
      <c r="K47" t="s">
        <v>134</v>
      </c>
      <c r="AX47" t="s">
        <v>207</v>
      </c>
      <c r="AY47" t="s">
        <v>159</v>
      </c>
      <c r="AZ47" t="s">
        <v>163</v>
      </c>
      <c r="BA47" t="s">
        <v>169</v>
      </c>
    </row>
    <row r="48" spans="1:54">
      <c r="A48" t="s">
        <v>37</v>
      </c>
      <c r="B48" t="s">
        <v>60</v>
      </c>
      <c r="C48" t="s">
        <v>13</v>
      </c>
      <c r="K48" t="s">
        <v>135</v>
      </c>
      <c r="AX48" t="s">
        <v>208</v>
      </c>
      <c r="AY48" t="s">
        <v>159</v>
      </c>
      <c r="AZ48" t="s">
        <v>165</v>
      </c>
      <c r="BA48" t="s">
        <v>169</v>
      </c>
    </row>
    <row r="49" spans="1:54">
      <c r="A49" t="s">
        <v>37</v>
      </c>
      <c r="B49" t="s">
        <v>60</v>
      </c>
      <c r="C49" t="s">
        <v>61</v>
      </c>
      <c r="D49" t="s">
        <v>62</v>
      </c>
      <c r="E49">
        <v>0</v>
      </c>
      <c r="F49">
        <v>0</v>
      </c>
      <c r="G49">
        <v>0</v>
      </c>
      <c r="H49">
        <v>1</v>
      </c>
      <c r="I49">
        <v>0</v>
      </c>
      <c r="J49">
        <v>0.26</v>
      </c>
      <c r="K49" t="s">
        <v>136</v>
      </c>
      <c r="AX49" t="s">
        <v>188</v>
      </c>
      <c r="AY49" t="s">
        <v>159</v>
      </c>
      <c r="AZ49" t="s">
        <v>167</v>
      </c>
      <c r="BA49" t="s">
        <v>169</v>
      </c>
    </row>
    <row r="50" spans="1:54">
      <c r="A50" t="s">
        <v>37</v>
      </c>
      <c r="B50" t="s">
        <v>60</v>
      </c>
      <c r="C50" t="s">
        <v>63</v>
      </c>
      <c r="D50" t="s">
        <v>62</v>
      </c>
      <c r="E50">
        <v>0</v>
      </c>
      <c r="F50">
        <v>0</v>
      </c>
      <c r="G50">
        <v>0</v>
      </c>
      <c r="H50">
        <v>0</v>
      </c>
      <c r="I50">
        <v>1</v>
      </c>
      <c r="J50">
        <v>3.0000000000000001E-3</v>
      </c>
      <c r="K50" t="s">
        <v>137</v>
      </c>
      <c r="AX50" t="s">
        <v>209</v>
      </c>
      <c r="AY50" t="s">
        <v>159</v>
      </c>
      <c r="AZ50" t="s">
        <v>210</v>
      </c>
      <c r="BA50" t="s">
        <v>169</v>
      </c>
      <c r="BB50">
        <v>2E-3</v>
      </c>
    </row>
    <row r="51" spans="1:54">
      <c r="A51" t="s">
        <v>37</v>
      </c>
      <c r="B51" t="s">
        <v>60</v>
      </c>
      <c r="C51" t="s">
        <v>64</v>
      </c>
      <c r="D51" t="s">
        <v>65</v>
      </c>
      <c r="E51">
        <v>0</v>
      </c>
      <c r="F51">
        <v>0</v>
      </c>
      <c r="G51">
        <v>0</v>
      </c>
      <c r="H51">
        <v>0</v>
      </c>
      <c r="I51">
        <v>1</v>
      </c>
      <c r="J51">
        <v>3.0000000000000001E-3</v>
      </c>
      <c r="K51" t="s">
        <v>138</v>
      </c>
      <c r="AX51" t="s">
        <v>211</v>
      </c>
      <c r="AY51" t="s">
        <v>159</v>
      </c>
      <c r="AZ51" t="s">
        <v>210</v>
      </c>
      <c r="BA51" t="s">
        <v>169</v>
      </c>
      <c r="BB51">
        <v>4.0000000000000001E-3</v>
      </c>
    </row>
    <row r="52" spans="1:54">
      <c r="A52" t="s">
        <v>37</v>
      </c>
      <c r="B52" t="s">
        <v>60</v>
      </c>
      <c r="C52" t="s">
        <v>66</v>
      </c>
      <c r="D52">
        <v>1</v>
      </c>
      <c r="J52">
        <v>2.5000000000000001E-3</v>
      </c>
      <c r="K52" t="s">
        <v>139</v>
      </c>
      <c r="AX52" t="s">
        <v>212</v>
      </c>
      <c r="AY52" t="s">
        <v>159</v>
      </c>
      <c r="AZ52" t="s">
        <v>210</v>
      </c>
      <c r="BA52" t="s">
        <v>169</v>
      </c>
      <c r="BB52">
        <v>0.15</v>
      </c>
    </row>
    <row r="53" spans="1:54">
      <c r="A53" t="s">
        <v>37</v>
      </c>
      <c r="B53" t="s">
        <v>60</v>
      </c>
      <c r="C53" t="s">
        <v>67</v>
      </c>
      <c r="D53">
        <v>1</v>
      </c>
      <c r="J53">
        <v>0.13500000000000001</v>
      </c>
      <c r="K53" t="s">
        <v>140</v>
      </c>
      <c r="AX53" t="s">
        <v>213</v>
      </c>
      <c r="AY53" t="s">
        <v>159</v>
      </c>
      <c r="AZ53" t="s">
        <v>210</v>
      </c>
      <c r="BA53" t="s">
        <v>169</v>
      </c>
      <c r="BB53">
        <v>0.09</v>
      </c>
    </row>
    <row r="54" spans="1:54">
      <c r="A54" t="s">
        <v>37</v>
      </c>
      <c r="B54" t="s">
        <v>60</v>
      </c>
      <c r="C54" t="s">
        <v>68</v>
      </c>
      <c r="D54">
        <v>1</v>
      </c>
      <c r="E54">
        <v>0</v>
      </c>
      <c r="F54">
        <v>0</v>
      </c>
      <c r="G54">
        <v>1</v>
      </c>
      <c r="H54">
        <v>0</v>
      </c>
      <c r="I54">
        <v>0</v>
      </c>
      <c r="J54">
        <v>4.0000000000000001E-3</v>
      </c>
      <c r="AX54" t="s">
        <v>214</v>
      </c>
      <c r="AY54" t="s">
        <v>159</v>
      </c>
      <c r="AZ54" t="s">
        <v>210</v>
      </c>
      <c r="BA54" t="s">
        <v>169</v>
      </c>
      <c r="BB54">
        <v>2E-3</v>
      </c>
    </row>
    <row r="55" spans="1:54">
      <c r="A55" t="s">
        <v>37</v>
      </c>
      <c r="B55" t="s">
        <v>60</v>
      </c>
      <c r="C55" t="s">
        <v>69</v>
      </c>
      <c r="D55">
        <v>1</v>
      </c>
      <c r="E55">
        <v>0</v>
      </c>
      <c r="F55">
        <v>0</v>
      </c>
      <c r="G55">
        <v>1</v>
      </c>
      <c r="H55">
        <v>0</v>
      </c>
      <c r="I55">
        <v>0</v>
      </c>
      <c r="J55">
        <v>4.0000000000000001E-3</v>
      </c>
      <c r="AX55" t="s">
        <v>215</v>
      </c>
      <c r="AY55" t="s">
        <v>159</v>
      </c>
      <c r="AZ55" t="s">
        <v>210</v>
      </c>
      <c r="BA55" t="s">
        <v>169</v>
      </c>
      <c r="BB55">
        <v>4.0000000000000001E-3</v>
      </c>
    </row>
    <row r="56" spans="1:54">
      <c r="A56" t="s">
        <v>37</v>
      </c>
      <c r="B56" t="s">
        <v>60</v>
      </c>
      <c r="C56" t="s">
        <v>70</v>
      </c>
      <c r="D56">
        <v>1</v>
      </c>
      <c r="E56">
        <v>0</v>
      </c>
      <c r="F56">
        <v>0</v>
      </c>
      <c r="G56">
        <v>1</v>
      </c>
      <c r="H56">
        <v>0</v>
      </c>
      <c r="I56">
        <v>0</v>
      </c>
      <c r="J56">
        <v>1E-4</v>
      </c>
      <c r="AX56" t="s">
        <v>216</v>
      </c>
      <c r="AY56" t="s">
        <v>159</v>
      </c>
      <c r="AZ56" t="s">
        <v>210</v>
      </c>
      <c r="BA56" t="s">
        <v>169</v>
      </c>
      <c r="BB56">
        <v>0.15</v>
      </c>
    </row>
    <row r="57" spans="1:54">
      <c r="A57" t="s">
        <v>37</v>
      </c>
      <c r="B57" t="s">
        <v>60</v>
      </c>
      <c r="C57" t="s">
        <v>71</v>
      </c>
      <c r="D57" t="s">
        <v>65</v>
      </c>
      <c r="E57">
        <v>0</v>
      </c>
      <c r="F57">
        <v>0</v>
      </c>
      <c r="G57">
        <v>1</v>
      </c>
      <c r="H57">
        <v>0</v>
      </c>
      <c r="I57">
        <v>0</v>
      </c>
      <c r="AX57" t="s">
        <v>217</v>
      </c>
      <c r="AY57" t="s">
        <v>159</v>
      </c>
      <c r="AZ57" t="s">
        <v>210</v>
      </c>
      <c r="BA57" t="s">
        <v>169</v>
      </c>
      <c r="BB57">
        <v>0.09</v>
      </c>
    </row>
    <row r="58" spans="1:54">
      <c r="A58" t="s">
        <v>37</v>
      </c>
      <c r="B58" t="s">
        <v>60</v>
      </c>
      <c r="C58" t="s">
        <v>72</v>
      </c>
      <c r="D58" t="s">
        <v>65</v>
      </c>
      <c r="E58">
        <v>0</v>
      </c>
      <c r="F58">
        <v>0</v>
      </c>
      <c r="G58">
        <v>0</v>
      </c>
      <c r="H58">
        <v>1</v>
      </c>
      <c r="I58">
        <v>0</v>
      </c>
      <c r="J58">
        <v>0.26</v>
      </c>
    </row>
    <row r="59" spans="1:54">
      <c r="A59" t="s">
        <v>37</v>
      </c>
      <c r="B59" t="s">
        <v>60</v>
      </c>
      <c r="C59" t="s">
        <v>73</v>
      </c>
      <c r="D59" t="s">
        <v>65</v>
      </c>
    </row>
    <row r="60" spans="1:54">
      <c r="A60" t="s">
        <v>37</v>
      </c>
      <c r="B60" t="s">
        <v>60</v>
      </c>
      <c r="C60" t="s">
        <v>74</v>
      </c>
      <c r="D60" t="s">
        <v>65</v>
      </c>
    </row>
    <row r="61" spans="1:54">
      <c r="A61" t="s">
        <v>37</v>
      </c>
      <c r="B61" t="s">
        <v>75</v>
      </c>
      <c r="C61" t="s">
        <v>13</v>
      </c>
      <c r="D61" t="s">
        <v>65</v>
      </c>
      <c r="E61">
        <v>0</v>
      </c>
      <c r="F61">
        <v>0</v>
      </c>
      <c r="G61">
        <v>0</v>
      </c>
      <c r="H61">
        <v>1</v>
      </c>
      <c r="I61">
        <v>0</v>
      </c>
      <c r="J61">
        <v>0.26</v>
      </c>
    </row>
    <row r="62" spans="1:54">
      <c r="A62" t="s">
        <v>37</v>
      </c>
      <c r="B62" t="s">
        <v>75</v>
      </c>
      <c r="C62" t="s">
        <v>76</v>
      </c>
      <c r="D62" t="s">
        <v>65</v>
      </c>
      <c r="E62">
        <v>0</v>
      </c>
      <c r="F62">
        <v>0</v>
      </c>
      <c r="G62">
        <v>0</v>
      </c>
      <c r="H62">
        <v>1</v>
      </c>
      <c r="I62">
        <v>0</v>
      </c>
      <c r="J62">
        <v>0.26</v>
      </c>
    </row>
    <row r="63" spans="1:54">
      <c r="A63" t="s">
        <v>37</v>
      </c>
      <c r="B63" t="s">
        <v>75</v>
      </c>
      <c r="C63" t="s">
        <v>77</v>
      </c>
      <c r="D63" t="s">
        <v>65</v>
      </c>
      <c r="E63">
        <v>0</v>
      </c>
      <c r="F63">
        <v>0</v>
      </c>
      <c r="G63">
        <v>0</v>
      </c>
      <c r="H63">
        <v>1</v>
      </c>
      <c r="I63">
        <v>0</v>
      </c>
      <c r="J63">
        <v>0.26</v>
      </c>
    </row>
    <row r="64" spans="1:54">
      <c r="A64" t="s">
        <v>37</v>
      </c>
      <c r="B64" t="s">
        <v>75</v>
      </c>
      <c r="C64" t="s">
        <v>78</v>
      </c>
      <c r="D64" t="s">
        <v>65</v>
      </c>
      <c r="E64">
        <v>0</v>
      </c>
      <c r="F64">
        <v>0</v>
      </c>
      <c r="G64">
        <v>0</v>
      </c>
      <c r="H64">
        <v>1</v>
      </c>
      <c r="I64">
        <v>0</v>
      </c>
      <c r="J64">
        <v>0.26</v>
      </c>
    </row>
    <row r="65" spans="1:10">
      <c r="A65" t="s">
        <v>37</v>
      </c>
      <c r="B65" t="s">
        <v>79</v>
      </c>
      <c r="C65" t="s">
        <v>13</v>
      </c>
      <c r="D65" t="s">
        <v>65</v>
      </c>
      <c r="E65">
        <v>0</v>
      </c>
      <c r="F65">
        <v>0</v>
      </c>
      <c r="G65">
        <v>0</v>
      </c>
      <c r="H65">
        <v>1</v>
      </c>
      <c r="I65">
        <v>0</v>
      </c>
      <c r="J65">
        <v>0.26</v>
      </c>
    </row>
    <row r="66" spans="1:10">
      <c r="A66" t="s">
        <v>37</v>
      </c>
      <c r="B66" t="s">
        <v>79</v>
      </c>
      <c r="C66" t="s">
        <v>80</v>
      </c>
      <c r="D66" t="s">
        <v>65</v>
      </c>
      <c r="E66">
        <v>0</v>
      </c>
      <c r="F66">
        <v>0</v>
      </c>
      <c r="G66">
        <v>0</v>
      </c>
      <c r="H66">
        <v>1</v>
      </c>
      <c r="I66">
        <v>0</v>
      </c>
      <c r="J66">
        <v>0.26</v>
      </c>
    </row>
    <row r="67" spans="1:10">
      <c r="A67" t="s">
        <v>37</v>
      </c>
      <c r="B67" t="s">
        <v>79</v>
      </c>
      <c r="C67" t="s">
        <v>81</v>
      </c>
      <c r="D67" t="s">
        <v>65</v>
      </c>
      <c r="E67">
        <v>0</v>
      </c>
      <c r="F67">
        <v>0</v>
      </c>
      <c r="G67">
        <v>0</v>
      </c>
      <c r="H67">
        <v>1</v>
      </c>
      <c r="I67">
        <v>0</v>
      </c>
      <c r="J67">
        <v>0.26</v>
      </c>
    </row>
    <row r="68" spans="1:10">
      <c r="A68" t="s">
        <v>82</v>
      </c>
      <c r="B68" t="s">
        <v>83</v>
      </c>
      <c r="C68" t="s">
        <v>13</v>
      </c>
      <c r="D68">
        <v>1</v>
      </c>
      <c r="E68">
        <v>0.2</v>
      </c>
      <c r="F68">
        <v>0.2</v>
      </c>
      <c r="G68">
        <v>0.2</v>
      </c>
      <c r="H68">
        <v>0.2</v>
      </c>
      <c r="I68">
        <v>0.2</v>
      </c>
      <c r="J68">
        <v>1</v>
      </c>
    </row>
    <row r="69" spans="1:10">
      <c r="A69" t="s">
        <v>82</v>
      </c>
      <c r="B69" t="s">
        <v>84</v>
      </c>
      <c r="C69" t="s">
        <v>13</v>
      </c>
      <c r="D69">
        <v>1</v>
      </c>
      <c r="E69">
        <v>0.2</v>
      </c>
      <c r="F69">
        <v>0.2</v>
      </c>
      <c r="G69">
        <v>0.2</v>
      </c>
      <c r="H69">
        <v>0.2</v>
      </c>
      <c r="I69">
        <v>0.2</v>
      </c>
      <c r="J69">
        <v>1</v>
      </c>
    </row>
    <row r="70" spans="1:10">
      <c r="A70" t="s">
        <v>85</v>
      </c>
      <c r="B70" t="s">
        <v>86</v>
      </c>
      <c r="C70" t="s">
        <v>13</v>
      </c>
      <c r="D70">
        <v>0</v>
      </c>
      <c r="E70">
        <v>0</v>
      </c>
      <c r="F70">
        <v>0</v>
      </c>
      <c r="G70">
        <v>0</v>
      </c>
      <c r="H70">
        <v>1</v>
      </c>
      <c r="I70">
        <v>0</v>
      </c>
      <c r="J70">
        <v>0.26</v>
      </c>
    </row>
    <row r="71" spans="1:10">
      <c r="A71" t="s">
        <v>85</v>
      </c>
      <c r="B71" t="s">
        <v>86</v>
      </c>
      <c r="C71" t="s">
        <v>76</v>
      </c>
      <c r="D71">
        <v>0</v>
      </c>
      <c r="E71">
        <v>0</v>
      </c>
      <c r="F71">
        <v>0</v>
      </c>
      <c r="G71">
        <v>0</v>
      </c>
      <c r="H71">
        <v>1</v>
      </c>
      <c r="I71">
        <v>0</v>
      </c>
      <c r="J71">
        <v>0.26</v>
      </c>
    </row>
    <row r="72" spans="1:10">
      <c r="A72" t="s">
        <v>85</v>
      </c>
      <c r="B72" t="s">
        <v>86</v>
      </c>
      <c r="C72" t="s">
        <v>77</v>
      </c>
      <c r="D72">
        <v>0</v>
      </c>
      <c r="E72">
        <v>0</v>
      </c>
      <c r="F72">
        <v>0</v>
      </c>
      <c r="G72">
        <v>0</v>
      </c>
      <c r="H72">
        <v>1</v>
      </c>
      <c r="I72">
        <v>0</v>
      </c>
      <c r="J72">
        <v>0.26</v>
      </c>
    </row>
    <row r="73" spans="1:10">
      <c r="A73" t="s">
        <v>85</v>
      </c>
      <c r="B73" t="s">
        <v>86</v>
      </c>
      <c r="C73" t="s">
        <v>78</v>
      </c>
      <c r="D73">
        <v>0</v>
      </c>
      <c r="E73">
        <v>0</v>
      </c>
      <c r="F73">
        <v>0</v>
      </c>
      <c r="G73">
        <v>0</v>
      </c>
      <c r="H73">
        <v>1</v>
      </c>
      <c r="I73">
        <v>0</v>
      </c>
      <c r="J73">
        <v>0.26</v>
      </c>
    </row>
    <row r="74" spans="1:10">
      <c r="A74" t="s">
        <v>85</v>
      </c>
      <c r="B74" t="s">
        <v>87</v>
      </c>
      <c r="C74" t="s">
        <v>13</v>
      </c>
      <c r="D74">
        <v>0</v>
      </c>
      <c r="E74">
        <v>1</v>
      </c>
      <c r="F74">
        <v>0</v>
      </c>
      <c r="G74">
        <v>0</v>
      </c>
      <c r="H74">
        <v>0</v>
      </c>
      <c r="I74">
        <v>0</v>
      </c>
      <c r="J74">
        <v>0.18</v>
      </c>
    </row>
    <row r="75" spans="1:10">
      <c r="A75" t="s">
        <v>85</v>
      </c>
      <c r="B75" t="s">
        <v>87</v>
      </c>
      <c r="C75" t="s">
        <v>88</v>
      </c>
      <c r="D75">
        <v>0</v>
      </c>
      <c r="E75">
        <v>1</v>
      </c>
      <c r="F75">
        <v>0</v>
      </c>
      <c r="G75">
        <v>0</v>
      </c>
      <c r="H75">
        <v>0</v>
      </c>
      <c r="I75">
        <v>0</v>
      </c>
      <c r="J75" s="1">
        <v>8.3299999999999999E-2</v>
      </c>
    </row>
    <row r="76" spans="1:10">
      <c r="A76" t="s">
        <v>85</v>
      </c>
      <c r="B76" t="s">
        <v>87</v>
      </c>
      <c r="C76" t="s">
        <v>89</v>
      </c>
      <c r="D76">
        <v>0</v>
      </c>
      <c r="E76">
        <v>1</v>
      </c>
      <c r="F76">
        <v>0</v>
      </c>
      <c r="G76">
        <v>0</v>
      </c>
      <c r="H76">
        <v>0</v>
      </c>
      <c r="I76">
        <v>0</v>
      </c>
      <c r="J76" s="1">
        <v>8.2199999999999995E-2</v>
      </c>
    </row>
    <row r="77" spans="1:10">
      <c r="A77" t="s">
        <v>85</v>
      </c>
      <c r="B77" t="s">
        <v>87</v>
      </c>
      <c r="C77" t="s">
        <v>90</v>
      </c>
      <c r="D77">
        <v>0</v>
      </c>
      <c r="E77">
        <v>0</v>
      </c>
      <c r="F77">
        <v>1</v>
      </c>
      <c r="G77">
        <v>0</v>
      </c>
      <c r="H77">
        <v>0</v>
      </c>
      <c r="I77">
        <v>0</v>
      </c>
      <c r="J77" s="1">
        <v>3.6499999999999998E-2</v>
      </c>
    </row>
    <row r="78" spans="1:10">
      <c r="A78" t="s">
        <v>85</v>
      </c>
      <c r="B78" t="s">
        <v>91</v>
      </c>
      <c r="C78" t="s">
        <v>13</v>
      </c>
      <c r="D78">
        <v>0</v>
      </c>
      <c r="E78">
        <v>0</v>
      </c>
      <c r="F78">
        <v>0</v>
      </c>
      <c r="G78">
        <v>1</v>
      </c>
      <c r="H78">
        <v>0</v>
      </c>
      <c r="I78">
        <v>0</v>
      </c>
    </row>
    <row r="79" spans="1:10">
      <c r="A79" t="s">
        <v>85</v>
      </c>
      <c r="B79" t="s">
        <v>91</v>
      </c>
      <c r="C79" t="s">
        <v>71</v>
      </c>
      <c r="D79">
        <v>0</v>
      </c>
      <c r="E79">
        <v>0</v>
      </c>
      <c r="F79">
        <v>0</v>
      </c>
      <c r="G79">
        <v>1</v>
      </c>
      <c r="H79">
        <v>0</v>
      </c>
      <c r="I79">
        <v>0</v>
      </c>
      <c r="J79" s="1">
        <v>0.5</v>
      </c>
    </row>
    <row r="80" spans="1:10">
      <c r="A80" t="s">
        <v>85</v>
      </c>
      <c r="B80" t="s">
        <v>91</v>
      </c>
      <c r="C80" t="s">
        <v>92</v>
      </c>
      <c r="D80">
        <v>0</v>
      </c>
      <c r="E80">
        <v>1</v>
      </c>
      <c r="F80">
        <v>0</v>
      </c>
      <c r="G80">
        <v>0</v>
      </c>
      <c r="H80">
        <v>0</v>
      </c>
      <c r="I80">
        <v>0</v>
      </c>
      <c r="J80" s="1">
        <v>0.16</v>
      </c>
    </row>
    <row r="81" spans="1:10">
      <c r="A81" t="s">
        <v>85</v>
      </c>
      <c r="B81" t="s">
        <v>91</v>
      </c>
      <c r="C81" t="s">
        <v>93</v>
      </c>
      <c r="D81">
        <v>0</v>
      </c>
      <c r="E81">
        <v>0</v>
      </c>
      <c r="F81">
        <v>1</v>
      </c>
      <c r="G81">
        <v>0</v>
      </c>
      <c r="H81">
        <v>0</v>
      </c>
      <c r="I81">
        <v>0</v>
      </c>
      <c r="J81" s="2">
        <v>0.08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CA306-4310-4B0F-BB01-E312CEB8F572}">
  <sheetPr codeName="Sheet4"/>
  <dimension ref="A1:AD123"/>
  <sheetViews>
    <sheetView workbookViewId="0">
      <selection sqref="A1:AD123"/>
    </sheetView>
  </sheetViews>
  <sheetFormatPr defaultRowHeight="15"/>
  <sheetData>
    <row r="1" spans="1:30">
      <c r="A1" t="s">
        <v>1245</v>
      </c>
      <c r="B1">
        <v>1</v>
      </c>
      <c r="E1" t="s">
        <v>305</v>
      </c>
      <c r="F1" t="s">
        <v>306</v>
      </c>
      <c r="J1" t="s">
        <v>307</v>
      </c>
      <c r="N1" t="s">
        <v>308</v>
      </c>
      <c r="R1" t="s">
        <v>309</v>
      </c>
      <c r="V1" t="s">
        <v>310</v>
      </c>
      <c r="Z1" t="s">
        <v>311</v>
      </c>
    </row>
    <row r="2" spans="1:30">
      <c r="A2" t="s">
        <v>0</v>
      </c>
      <c r="B2" t="s">
        <v>312</v>
      </c>
      <c r="C2" t="s">
        <v>313</v>
      </c>
      <c r="D2" t="s">
        <v>314</v>
      </c>
      <c r="F2" t="s">
        <v>0</v>
      </c>
      <c r="G2" t="s">
        <v>312</v>
      </c>
      <c r="H2" t="s">
        <v>313</v>
      </c>
      <c r="I2" t="s">
        <v>314</v>
      </c>
      <c r="J2" t="s">
        <v>0</v>
      </c>
      <c r="K2" t="s">
        <v>312</v>
      </c>
      <c r="L2" t="s">
        <v>313</v>
      </c>
      <c r="M2" t="s">
        <v>314</v>
      </c>
      <c r="N2" t="s">
        <v>0</v>
      </c>
      <c r="O2" t="s">
        <v>312</v>
      </c>
      <c r="P2" t="s">
        <v>313</v>
      </c>
      <c r="Q2" t="s">
        <v>314</v>
      </c>
      <c r="R2" t="s">
        <v>0</v>
      </c>
      <c r="S2" t="s">
        <v>312</v>
      </c>
      <c r="T2" t="s">
        <v>313</v>
      </c>
      <c r="U2" t="s">
        <v>314</v>
      </c>
      <c r="V2" t="s">
        <v>0</v>
      </c>
      <c r="W2" t="s">
        <v>312</v>
      </c>
      <c r="X2" t="s">
        <v>313</v>
      </c>
      <c r="Y2" t="s">
        <v>314</v>
      </c>
      <c r="AA2" t="s">
        <v>0</v>
      </c>
      <c r="AB2" t="s">
        <v>312</v>
      </c>
      <c r="AC2" t="s">
        <v>313</v>
      </c>
      <c r="AD2" t="s">
        <v>314</v>
      </c>
    </row>
    <row r="3" spans="1:30">
      <c r="A3" t="s">
        <v>222</v>
      </c>
      <c r="B3" t="s">
        <v>315</v>
      </c>
      <c r="C3" t="s">
        <v>316</v>
      </c>
      <c r="D3" t="s">
        <v>317</v>
      </c>
      <c r="E3">
        <v>1</v>
      </c>
      <c r="F3" t="s">
        <v>318</v>
      </c>
      <c r="G3" t="s">
        <v>319</v>
      </c>
      <c r="H3" t="s">
        <v>320</v>
      </c>
      <c r="I3" t="s">
        <v>321</v>
      </c>
      <c r="J3" t="s">
        <v>322</v>
      </c>
      <c r="N3" t="s">
        <v>323</v>
      </c>
      <c r="O3" t="s">
        <v>324</v>
      </c>
      <c r="P3" t="s">
        <v>325</v>
      </c>
      <c r="Q3" t="s">
        <v>326</v>
      </c>
      <c r="R3" t="s">
        <v>12</v>
      </c>
      <c r="S3" t="s">
        <v>327</v>
      </c>
      <c r="T3" t="s">
        <v>328</v>
      </c>
      <c r="U3" t="s">
        <v>329</v>
      </c>
      <c r="V3" t="s">
        <v>13</v>
      </c>
      <c r="W3" t="s">
        <v>13</v>
      </c>
      <c r="X3" t="s">
        <v>13</v>
      </c>
      <c r="Y3" t="s">
        <v>13</v>
      </c>
      <c r="Z3">
        <v>1</v>
      </c>
      <c r="AA3" t="s">
        <v>147</v>
      </c>
      <c r="AB3" t="s">
        <v>330</v>
      </c>
      <c r="AD3" t="s">
        <v>331</v>
      </c>
    </row>
    <row r="4" spans="1:30">
      <c r="A4" t="s">
        <v>226</v>
      </c>
      <c r="B4" t="s">
        <v>332</v>
      </c>
      <c r="C4" t="s">
        <v>333</v>
      </c>
      <c r="D4" t="s">
        <v>334</v>
      </c>
      <c r="E4">
        <v>2</v>
      </c>
      <c r="G4" t="s">
        <v>319</v>
      </c>
      <c r="H4" t="s">
        <v>320</v>
      </c>
      <c r="I4" t="s">
        <v>321</v>
      </c>
      <c r="N4" t="s">
        <v>335</v>
      </c>
      <c r="O4" t="s">
        <v>336</v>
      </c>
      <c r="P4" t="s">
        <v>337</v>
      </c>
      <c r="Q4" t="s">
        <v>338</v>
      </c>
      <c r="R4" t="s">
        <v>24</v>
      </c>
      <c r="S4" t="s">
        <v>339</v>
      </c>
      <c r="T4" t="s">
        <v>340</v>
      </c>
      <c r="U4" t="s">
        <v>341</v>
      </c>
      <c r="V4" t="s">
        <v>14</v>
      </c>
      <c r="W4" t="s">
        <v>342</v>
      </c>
      <c r="X4" t="s">
        <v>343</v>
      </c>
      <c r="Y4" t="s">
        <v>344</v>
      </c>
      <c r="Z4">
        <v>2</v>
      </c>
      <c r="AA4" t="s">
        <v>345</v>
      </c>
      <c r="AB4" t="s">
        <v>346</v>
      </c>
      <c r="AD4" t="s">
        <v>347</v>
      </c>
    </row>
    <row r="5" spans="1:30">
      <c r="A5" t="s">
        <v>227</v>
      </c>
      <c r="B5" t="s">
        <v>348</v>
      </c>
      <c r="C5" t="s">
        <v>349</v>
      </c>
      <c r="D5" t="s">
        <v>350</v>
      </c>
      <c r="E5">
        <v>3</v>
      </c>
      <c r="F5" t="s">
        <v>351</v>
      </c>
      <c r="G5" t="s">
        <v>352</v>
      </c>
      <c r="H5" t="s">
        <v>320</v>
      </c>
      <c r="I5" t="s">
        <v>353</v>
      </c>
      <c r="N5" t="s">
        <v>354</v>
      </c>
      <c r="O5" t="s">
        <v>355</v>
      </c>
      <c r="P5" t="s">
        <v>356</v>
      </c>
      <c r="Q5" t="s">
        <v>357</v>
      </c>
      <c r="R5" t="s">
        <v>27</v>
      </c>
      <c r="S5" t="s">
        <v>358</v>
      </c>
      <c r="T5" t="s">
        <v>359</v>
      </c>
      <c r="U5" t="s">
        <v>360</v>
      </c>
      <c r="V5" t="s">
        <v>15</v>
      </c>
      <c r="W5" t="s">
        <v>361</v>
      </c>
      <c r="X5" t="s">
        <v>362</v>
      </c>
      <c r="Y5" t="s">
        <v>363</v>
      </c>
      <c r="Z5">
        <v>3</v>
      </c>
      <c r="AA5" t="s">
        <v>226</v>
      </c>
      <c r="AB5" t="s">
        <v>332</v>
      </c>
      <c r="AD5" t="s">
        <v>334</v>
      </c>
    </row>
    <row r="6" spans="1:30">
      <c r="A6" t="s">
        <v>232</v>
      </c>
      <c r="B6" t="s">
        <v>364</v>
      </c>
      <c r="C6" t="s">
        <v>365</v>
      </c>
      <c r="D6" t="s">
        <v>366</v>
      </c>
      <c r="E6">
        <v>4</v>
      </c>
      <c r="F6" t="s">
        <v>367</v>
      </c>
      <c r="G6" t="s">
        <v>368</v>
      </c>
      <c r="H6" t="s">
        <v>320</v>
      </c>
      <c r="I6" t="s">
        <v>369</v>
      </c>
      <c r="N6" t="s">
        <v>370</v>
      </c>
      <c r="O6" t="s">
        <v>371</v>
      </c>
      <c r="P6" t="s">
        <v>372</v>
      </c>
      <c r="Q6" t="s">
        <v>373</v>
      </c>
      <c r="R6" t="s">
        <v>28</v>
      </c>
      <c r="S6" t="s">
        <v>374</v>
      </c>
      <c r="T6" t="s">
        <v>375</v>
      </c>
      <c r="U6" t="s">
        <v>376</v>
      </c>
      <c r="V6" t="s">
        <v>16</v>
      </c>
      <c r="W6" t="s">
        <v>377</v>
      </c>
      <c r="X6" t="s">
        <v>378</v>
      </c>
      <c r="Y6" t="s">
        <v>379</v>
      </c>
      <c r="Z6">
        <v>4</v>
      </c>
      <c r="AA6" t="s">
        <v>380</v>
      </c>
      <c r="AB6" t="s">
        <v>381</v>
      </c>
      <c r="AD6" t="s">
        <v>382</v>
      </c>
    </row>
    <row r="7" spans="1:30">
      <c r="A7" t="s">
        <v>237</v>
      </c>
      <c r="B7" t="s">
        <v>383</v>
      </c>
      <c r="C7" t="s">
        <v>384</v>
      </c>
      <c r="D7" t="s">
        <v>385</v>
      </c>
      <c r="E7">
        <v>5</v>
      </c>
      <c r="G7" t="s">
        <v>319</v>
      </c>
      <c r="H7" t="s">
        <v>320</v>
      </c>
      <c r="I7" t="s">
        <v>321</v>
      </c>
      <c r="N7" t="s">
        <v>85</v>
      </c>
      <c r="O7" t="s">
        <v>386</v>
      </c>
      <c r="P7" t="s">
        <v>387</v>
      </c>
      <c r="Q7" t="s">
        <v>388</v>
      </c>
      <c r="R7" t="s">
        <v>29</v>
      </c>
      <c r="S7" t="s">
        <v>389</v>
      </c>
      <c r="T7" t="s">
        <v>390</v>
      </c>
      <c r="U7" t="s">
        <v>389</v>
      </c>
      <c r="V7" t="s">
        <v>17</v>
      </c>
      <c r="W7" t="s">
        <v>391</v>
      </c>
      <c r="X7" t="s">
        <v>392</v>
      </c>
      <c r="Y7" t="s">
        <v>391</v>
      </c>
      <c r="Z7">
        <v>5</v>
      </c>
      <c r="AA7" t="s">
        <v>393</v>
      </c>
      <c r="AB7" t="s">
        <v>394</v>
      </c>
      <c r="AD7" t="s">
        <v>395</v>
      </c>
    </row>
    <row r="8" spans="1:30">
      <c r="A8" t="s">
        <v>242</v>
      </c>
      <c r="B8" t="s">
        <v>396</v>
      </c>
      <c r="C8" t="s">
        <v>397</v>
      </c>
      <c r="D8" t="s">
        <v>398</v>
      </c>
      <c r="E8">
        <v>6</v>
      </c>
      <c r="G8" t="s">
        <v>319</v>
      </c>
      <c r="H8" t="s">
        <v>320</v>
      </c>
      <c r="I8" t="s">
        <v>321</v>
      </c>
      <c r="R8" t="s">
        <v>30</v>
      </c>
      <c r="S8" t="s">
        <v>399</v>
      </c>
      <c r="T8" t="s">
        <v>400</v>
      </c>
      <c r="U8" t="s">
        <v>401</v>
      </c>
      <c r="V8" t="s">
        <v>18</v>
      </c>
      <c r="W8" t="s">
        <v>402</v>
      </c>
      <c r="X8" t="s">
        <v>403</v>
      </c>
      <c r="Y8" t="s">
        <v>404</v>
      </c>
      <c r="Z8">
        <v>6</v>
      </c>
      <c r="AA8" t="s">
        <v>405</v>
      </c>
      <c r="AB8" t="s">
        <v>406</v>
      </c>
      <c r="AD8" t="s">
        <v>407</v>
      </c>
    </row>
    <row r="9" spans="1:30">
      <c r="A9" s="3" t="s">
        <v>1246</v>
      </c>
      <c r="B9" t="s">
        <v>408</v>
      </c>
      <c r="C9" t="s">
        <v>409</v>
      </c>
      <c r="D9" t="s">
        <v>410</v>
      </c>
      <c r="E9">
        <v>7</v>
      </c>
      <c r="F9" t="s">
        <v>411</v>
      </c>
      <c r="G9" t="s">
        <v>412</v>
      </c>
      <c r="H9" t="s">
        <v>320</v>
      </c>
      <c r="I9" t="s">
        <v>413</v>
      </c>
      <c r="R9" t="s">
        <v>38</v>
      </c>
      <c r="S9" t="s">
        <v>414</v>
      </c>
      <c r="T9" t="s">
        <v>415</v>
      </c>
      <c r="U9" t="s">
        <v>416</v>
      </c>
      <c r="V9" t="s">
        <v>19</v>
      </c>
      <c r="W9" t="s">
        <v>417</v>
      </c>
      <c r="X9" t="s">
        <v>418</v>
      </c>
      <c r="Y9" t="s">
        <v>419</v>
      </c>
      <c r="Z9">
        <v>7</v>
      </c>
      <c r="AA9" t="s">
        <v>420</v>
      </c>
      <c r="AB9" t="s">
        <v>421</v>
      </c>
      <c r="AD9" t="s">
        <v>422</v>
      </c>
    </row>
    <row r="10" spans="1:30">
      <c r="A10" s="3" t="s">
        <v>1247</v>
      </c>
      <c r="B10" t="s">
        <v>423</v>
      </c>
      <c r="C10" t="s">
        <v>424</v>
      </c>
      <c r="D10" t="s">
        <v>425</v>
      </c>
      <c r="E10">
        <v>8</v>
      </c>
      <c r="F10" t="s">
        <v>426</v>
      </c>
      <c r="G10" t="s">
        <v>427</v>
      </c>
      <c r="H10" t="s">
        <v>320</v>
      </c>
      <c r="I10" t="s">
        <v>428</v>
      </c>
      <c r="R10" t="s">
        <v>44</v>
      </c>
      <c r="S10" t="s">
        <v>429</v>
      </c>
      <c r="T10" t="s">
        <v>430</v>
      </c>
      <c r="U10" t="s">
        <v>44</v>
      </c>
      <c r="V10" t="s">
        <v>20</v>
      </c>
      <c r="W10" t="s">
        <v>431</v>
      </c>
      <c r="X10" t="s">
        <v>432</v>
      </c>
      <c r="Y10" t="s">
        <v>433</v>
      </c>
      <c r="Z10">
        <v>8</v>
      </c>
      <c r="AA10" t="s">
        <v>434</v>
      </c>
      <c r="AB10" t="s">
        <v>435</v>
      </c>
      <c r="AD10" t="s">
        <v>436</v>
      </c>
    </row>
    <row r="11" spans="1:30">
      <c r="A11" s="3" t="s">
        <v>1248</v>
      </c>
      <c r="B11" s="3" t="s">
        <v>1249</v>
      </c>
      <c r="C11" t="s">
        <v>437</v>
      </c>
      <c r="D11" t="s">
        <v>438</v>
      </c>
      <c r="E11">
        <v>9</v>
      </c>
      <c r="F11" t="s">
        <v>439</v>
      </c>
      <c r="G11" t="s">
        <v>440</v>
      </c>
      <c r="H11" t="s">
        <v>320</v>
      </c>
      <c r="I11" t="s">
        <v>441</v>
      </c>
      <c r="R11" t="s">
        <v>60</v>
      </c>
      <c r="S11" t="s">
        <v>442</v>
      </c>
      <c r="T11" t="s">
        <v>443</v>
      </c>
      <c r="U11" t="s">
        <v>444</v>
      </c>
      <c r="V11" t="s">
        <v>21</v>
      </c>
      <c r="W11" t="s">
        <v>445</v>
      </c>
      <c r="X11" t="s">
        <v>446</v>
      </c>
      <c r="Y11" t="s">
        <v>447</v>
      </c>
      <c r="Z11">
        <v>9</v>
      </c>
      <c r="AA11" t="s">
        <v>1</v>
      </c>
      <c r="AB11" t="s">
        <v>448</v>
      </c>
      <c r="AD11" t="s">
        <v>449</v>
      </c>
    </row>
    <row r="12" spans="1:30">
      <c r="A12" s="3" t="s">
        <v>1250</v>
      </c>
      <c r="B12" s="3" t="s">
        <v>1251</v>
      </c>
      <c r="C12" s="3" t="s">
        <v>1252</v>
      </c>
      <c r="D12" s="3" t="s">
        <v>1253</v>
      </c>
      <c r="E12">
        <v>10</v>
      </c>
      <c r="F12" t="s">
        <v>450</v>
      </c>
      <c r="G12" t="s">
        <v>451</v>
      </c>
      <c r="H12" t="s">
        <v>320</v>
      </c>
      <c r="I12" t="s">
        <v>452</v>
      </c>
      <c r="R12" t="s">
        <v>75</v>
      </c>
      <c r="S12" t="s">
        <v>453</v>
      </c>
      <c r="T12" t="s">
        <v>454</v>
      </c>
      <c r="U12" t="s">
        <v>455</v>
      </c>
      <c r="V12" t="s">
        <v>22</v>
      </c>
      <c r="W12" t="s">
        <v>456</v>
      </c>
      <c r="X12" t="s">
        <v>457</v>
      </c>
      <c r="Y12" t="s">
        <v>458</v>
      </c>
      <c r="Z12">
        <v>10</v>
      </c>
      <c r="AA12" t="s">
        <v>405</v>
      </c>
      <c r="AB12" t="s">
        <v>406</v>
      </c>
      <c r="AD12" t="s">
        <v>407</v>
      </c>
    </row>
    <row r="13" spans="1:30">
      <c r="A13" s="3" t="s">
        <v>1254</v>
      </c>
      <c r="B13" s="3" t="s">
        <v>1255</v>
      </c>
      <c r="C13" s="3" t="s">
        <v>1256</v>
      </c>
      <c r="D13" s="3" t="s">
        <v>1257</v>
      </c>
      <c r="E13">
        <v>11</v>
      </c>
      <c r="F13" t="s">
        <v>459</v>
      </c>
      <c r="G13" t="s">
        <v>460</v>
      </c>
      <c r="H13" t="s">
        <v>320</v>
      </c>
      <c r="I13" t="s">
        <v>461</v>
      </c>
      <c r="R13" t="s">
        <v>79</v>
      </c>
      <c r="S13" t="s">
        <v>462</v>
      </c>
      <c r="T13" t="s">
        <v>463</v>
      </c>
      <c r="U13" t="s">
        <v>464</v>
      </c>
      <c r="V13" t="s">
        <v>25</v>
      </c>
      <c r="W13" t="s">
        <v>465</v>
      </c>
      <c r="X13" t="s">
        <v>466</v>
      </c>
      <c r="Y13" t="s">
        <v>467</v>
      </c>
      <c r="Z13">
        <v>11</v>
      </c>
      <c r="AA13" t="s">
        <v>420</v>
      </c>
      <c r="AB13" t="s">
        <v>421</v>
      </c>
      <c r="AD13" t="s">
        <v>422</v>
      </c>
    </row>
    <row r="14" spans="1:30">
      <c r="A14" s="3" t="s">
        <v>1258</v>
      </c>
      <c r="B14" s="3" t="s">
        <v>1259</v>
      </c>
      <c r="C14" s="3" t="s">
        <v>1260</v>
      </c>
      <c r="D14" s="3" t="s">
        <v>1261</v>
      </c>
      <c r="E14">
        <v>12</v>
      </c>
      <c r="F14" t="s">
        <v>468</v>
      </c>
      <c r="G14" t="s">
        <v>469</v>
      </c>
      <c r="H14" t="s">
        <v>320</v>
      </c>
      <c r="I14" t="s">
        <v>470</v>
      </c>
      <c r="R14" t="s">
        <v>83</v>
      </c>
      <c r="S14" t="s">
        <v>471</v>
      </c>
      <c r="T14" t="s">
        <v>472</v>
      </c>
      <c r="U14" t="s">
        <v>83</v>
      </c>
      <c r="V14" t="s">
        <v>26</v>
      </c>
      <c r="W14" t="s">
        <v>473</v>
      </c>
      <c r="X14" t="s">
        <v>474</v>
      </c>
      <c r="Y14" t="s">
        <v>475</v>
      </c>
      <c r="Z14">
        <v>12</v>
      </c>
      <c r="AA14" t="s">
        <v>476</v>
      </c>
      <c r="AB14" t="s">
        <v>477</v>
      </c>
      <c r="AD14" t="s">
        <v>478</v>
      </c>
    </row>
    <row r="15" spans="1:30">
      <c r="A15" t="s">
        <v>262</v>
      </c>
      <c r="B15" t="s">
        <v>479</v>
      </c>
      <c r="C15" t="s">
        <v>480</v>
      </c>
      <c r="D15" t="s">
        <v>481</v>
      </c>
      <c r="E15">
        <v>13</v>
      </c>
      <c r="F15" t="s">
        <v>482</v>
      </c>
      <c r="G15" t="s">
        <v>483</v>
      </c>
      <c r="H15" t="s">
        <v>320</v>
      </c>
      <c r="I15" t="s">
        <v>484</v>
      </c>
      <c r="R15" t="s">
        <v>84</v>
      </c>
      <c r="S15" t="s">
        <v>84</v>
      </c>
      <c r="T15" t="s">
        <v>485</v>
      </c>
      <c r="U15" t="s">
        <v>84</v>
      </c>
      <c r="V15" t="s">
        <v>31</v>
      </c>
      <c r="W15" t="s">
        <v>486</v>
      </c>
      <c r="X15" t="s">
        <v>487</v>
      </c>
      <c r="Y15" t="s">
        <v>488</v>
      </c>
      <c r="Z15">
        <v>13</v>
      </c>
      <c r="AA15" t="s">
        <v>489</v>
      </c>
      <c r="AB15" t="s">
        <v>490</v>
      </c>
      <c r="AD15" t="s">
        <v>491</v>
      </c>
    </row>
    <row r="16" spans="1:30">
      <c r="A16" t="s">
        <v>235</v>
      </c>
      <c r="B16" t="s">
        <v>235</v>
      </c>
      <c r="C16" t="s">
        <v>492</v>
      </c>
      <c r="D16" t="s">
        <v>493</v>
      </c>
      <c r="E16">
        <v>14</v>
      </c>
      <c r="F16" t="s">
        <v>494</v>
      </c>
      <c r="G16" t="s">
        <v>495</v>
      </c>
      <c r="H16" t="s">
        <v>320</v>
      </c>
      <c r="I16" t="s">
        <v>496</v>
      </c>
      <c r="R16" t="s">
        <v>86</v>
      </c>
      <c r="S16" t="s">
        <v>497</v>
      </c>
      <c r="T16" t="s">
        <v>498</v>
      </c>
      <c r="U16" t="s">
        <v>499</v>
      </c>
      <c r="V16" t="s">
        <v>32</v>
      </c>
      <c r="W16" t="s">
        <v>500</v>
      </c>
      <c r="X16" t="s">
        <v>501</v>
      </c>
      <c r="Y16" t="s">
        <v>502</v>
      </c>
      <c r="Z16">
        <v>14</v>
      </c>
      <c r="AA16" t="s">
        <v>503</v>
      </c>
      <c r="AB16" t="s">
        <v>504</v>
      </c>
      <c r="AD16" t="s">
        <v>505</v>
      </c>
    </row>
    <row r="17" spans="1:30">
      <c r="A17" t="s">
        <v>12</v>
      </c>
      <c r="B17" t="s">
        <v>327</v>
      </c>
      <c r="C17" t="s">
        <v>328</v>
      </c>
      <c r="D17" t="s">
        <v>329</v>
      </c>
      <c r="E17">
        <v>15</v>
      </c>
      <c r="F17" t="s">
        <v>506</v>
      </c>
      <c r="G17" t="s">
        <v>507</v>
      </c>
      <c r="H17" t="s">
        <v>320</v>
      </c>
      <c r="I17" t="s">
        <v>508</v>
      </c>
      <c r="R17" t="s">
        <v>87</v>
      </c>
      <c r="S17" t="s">
        <v>509</v>
      </c>
      <c r="T17" t="s">
        <v>510</v>
      </c>
      <c r="U17" t="s">
        <v>511</v>
      </c>
      <c r="V17" t="s">
        <v>33</v>
      </c>
      <c r="W17" t="s">
        <v>512</v>
      </c>
      <c r="X17" t="s">
        <v>513</v>
      </c>
      <c r="Y17" t="s">
        <v>33</v>
      </c>
      <c r="Z17">
        <v>15</v>
      </c>
      <c r="AA17" t="s">
        <v>514</v>
      </c>
      <c r="AB17" t="s">
        <v>515</v>
      </c>
      <c r="AD17" t="s">
        <v>516</v>
      </c>
    </row>
    <row r="18" spans="1:30">
      <c r="A18" t="s">
        <v>150</v>
      </c>
      <c r="B18" t="s">
        <v>517</v>
      </c>
      <c r="C18" t="s">
        <v>518</v>
      </c>
      <c r="D18" t="s">
        <v>519</v>
      </c>
      <c r="E18">
        <v>16</v>
      </c>
      <c r="F18" t="s">
        <v>520</v>
      </c>
      <c r="G18" t="s">
        <v>521</v>
      </c>
      <c r="H18" t="s">
        <v>320</v>
      </c>
      <c r="I18" t="s">
        <v>522</v>
      </c>
      <c r="R18" t="s">
        <v>91</v>
      </c>
      <c r="S18" t="s">
        <v>523</v>
      </c>
      <c r="T18" t="s">
        <v>524</v>
      </c>
      <c r="U18" t="s">
        <v>525</v>
      </c>
      <c r="V18" t="s">
        <v>34</v>
      </c>
      <c r="W18" t="s">
        <v>526</v>
      </c>
      <c r="X18" t="s">
        <v>527</v>
      </c>
      <c r="Y18" t="s">
        <v>528</v>
      </c>
      <c r="Z18">
        <v>16</v>
      </c>
      <c r="AA18" t="s">
        <v>529</v>
      </c>
      <c r="AB18" t="s">
        <v>530</v>
      </c>
      <c r="AD18" t="s">
        <v>531</v>
      </c>
    </row>
    <row r="19" spans="1:30">
      <c r="A19" t="s">
        <v>263</v>
      </c>
      <c r="B19" t="s">
        <v>532</v>
      </c>
      <c r="C19" t="s">
        <v>533</v>
      </c>
      <c r="D19" t="s">
        <v>534</v>
      </c>
      <c r="E19">
        <v>17</v>
      </c>
      <c r="F19" t="s">
        <v>535</v>
      </c>
      <c r="G19" t="s">
        <v>536</v>
      </c>
      <c r="H19" t="s">
        <v>320</v>
      </c>
      <c r="I19" t="s">
        <v>537</v>
      </c>
      <c r="V19" t="s">
        <v>35</v>
      </c>
      <c r="W19" t="s">
        <v>538</v>
      </c>
      <c r="X19" t="s">
        <v>539</v>
      </c>
      <c r="Y19" t="s">
        <v>540</v>
      </c>
      <c r="Z19">
        <v>17</v>
      </c>
      <c r="AA19" t="s">
        <v>541</v>
      </c>
      <c r="AB19" t="s">
        <v>542</v>
      </c>
      <c r="AD19" t="s">
        <v>543</v>
      </c>
    </row>
    <row r="20" spans="1:30">
      <c r="A20" t="s">
        <v>266</v>
      </c>
      <c r="B20" t="s">
        <v>544</v>
      </c>
      <c r="D20" t="s">
        <v>545</v>
      </c>
      <c r="E20">
        <v>18</v>
      </c>
      <c r="F20" t="s">
        <v>546</v>
      </c>
      <c r="G20" t="s">
        <v>547</v>
      </c>
      <c r="H20" t="s">
        <v>320</v>
      </c>
      <c r="I20" t="s">
        <v>548</v>
      </c>
      <c r="V20" t="s">
        <v>36</v>
      </c>
      <c r="W20" t="s">
        <v>549</v>
      </c>
      <c r="X20" t="s">
        <v>550</v>
      </c>
      <c r="Y20" t="s">
        <v>551</v>
      </c>
      <c r="Z20">
        <v>18</v>
      </c>
      <c r="AA20" t="s">
        <v>268</v>
      </c>
      <c r="AB20" t="s">
        <v>552</v>
      </c>
      <c r="AD20" t="s">
        <v>553</v>
      </c>
    </row>
    <row r="21" spans="1:30">
      <c r="A21" t="s">
        <v>270</v>
      </c>
      <c r="B21" t="s">
        <v>554</v>
      </c>
      <c r="D21" t="s">
        <v>555</v>
      </c>
      <c r="E21">
        <v>19</v>
      </c>
      <c r="F21" t="s">
        <v>556</v>
      </c>
      <c r="G21" t="s">
        <v>557</v>
      </c>
      <c r="H21" t="s">
        <v>320</v>
      </c>
      <c r="I21" t="s">
        <v>558</v>
      </c>
      <c r="V21" t="s">
        <v>39</v>
      </c>
      <c r="W21" t="s">
        <v>559</v>
      </c>
      <c r="X21" t="s">
        <v>560</v>
      </c>
      <c r="Y21" t="s">
        <v>561</v>
      </c>
      <c r="Z21">
        <v>19</v>
      </c>
      <c r="AA21" t="s">
        <v>562</v>
      </c>
      <c r="AB21" t="s">
        <v>563</v>
      </c>
      <c r="AD21" t="s">
        <v>564</v>
      </c>
    </row>
    <row r="22" spans="1:30">
      <c r="A22" t="s">
        <v>273</v>
      </c>
      <c r="B22" t="s">
        <v>565</v>
      </c>
      <c r="C22" t="s">
        <v>566</v>
      </c>
      <c r="D22" t="s">
        <v>567</v>
      </c>
      <c r="E22">
        <v>20</v>
      </c>
      <c r="F22" t="s">
        <v>568</v>
      </c>
      <c r="G22" t="s">
        <v>569</v>
      </c>
      <c r="H22" t="s">
        <v>320</v>
      </c>
      <c r="I22" t="s">
        <v>570</v>
      </c>
      <c r="V22" t="s">
        <v>40</v>
      </c>
      <c r="W22" t="s">
        <v>571</v>
      </c>
      <c r="X22" t="s">
        <v>572</v>
      </c>
      <c r="Y22" t="s">
        <v>573</v>
      </c>
      <c r="Z22">
        <v>20</v>
      </c>
      <c r="AA22" t="s">
        <v>4</v>
      </c>
      <c r="AB22" t="s">
        <v>574</v>
      </c>
      <c r="AD22" t="s">
        <v>575</v>
      </c>
    </row>
    <row r="23" spans="1:30">
      <c r="A23" t="s">
        <v>275</v>
      </c>
      <c r="B23" t="s">
        <v>576</v>
      </c>
      <c r="C23" t="s">
        <v>577</v>
      </c>
      <c r="D23" t="s">
        <v>578</v>
      </c>
      <c r="E23">
        <v>21</v>
      </c>
      <c r="F23" t="s">
        <v>579</v>
      </c>
      <c r="G23" t="s">
        <v>580</v>
      </c>
      <c r="H23" t="s">
        <v>320</v>
      </c>
      <c r="I23" t="s">
        <v>581</v>
      </c>
      <c r="V23" t="s">
        <v>41</v>
      </c>
      <c r="W23" t="s">
        <v>582</v>
      </c>
      <c r="X23" t="s">
        <v>583</v>
      </c>
      <c r="Y23" t="s">
        <v>584</v>
      </c>
      <c r="Z23">
        <v>21</v>
      </c>
      <c r="AA23" t="s">
        <v>585</v>
      </c>
      <c r="AB23" t="s">
        <v>586</v>
      </c>
      <c r="AD23" t="s">
        <v>587</v>
      </c>
    </row>
    <row r="24" spans="1:30">
      <c r="A24" t="s">
        <v>268</v>
      </c>
      <c r="B24" t="s">
        <v>552</v>
      </c>
      <c r="C24" t="s">
        <v>588</v>
      </c>
      <c r="D24" t="s">
        <v>589</v>
      </c>
      <c r="E24">
        <v>22</v>
      </c>
      <c r="F24" t="s">
        <v>590</v>
      </c>
      <c r="G24" t="s">
        <v>591</v>
      </c>
      <c r="H24" t="s">
        <v>320</v>
      </c>
      <c r="I24" t="s">
        <v>592</v>
      </c>
      <c r="Z24">
        <v>22</v>
      </c>
      <c r="AA24" t="s">
        <v>593</v>
      </c>
      <c r="AB24" t="s">
        <v>594</v>
      </c>
      <c r="AD24" t="s">
        <v>595</v>
      </c>
    </row>
    <row r="25" spans="1:30">
      <c r="A25" t="s">
        <v>240</v>
      </c>
      <c r="B25" t="s">
        <v>596</v>
      </c>
      <c r="D25" t="s">
        <v>597</v>
      </c>
      <c r="E25">
        <v>23</v>
      </c>
      <c r="V25" t="s">
        <v>42</v>
      </c>
      <c r="W25" t="s">
        <v>598</v>
      </c>
      <c r="X25" t="s">
        <v>599</v>
      </c>
      <c r="Y25" t="s">
        <v>600</v>
      </c>
      <c r="Z25">
        <v>23</v>
      </c>
      <c r="AA25" t="s">
        <v>601</v>
      </c>
      <c r="AB25" t="s">
        <v>602</v>
      </c>
      <c r="AD25" t="s">
        <v>603</v>
      </c>
    </row>
    <row r="26" spans="1:30">
      <c r="A26" t="s">
        <v>604</v>
      </c>
      <c r="B26" t="s">
        <v>605</v>
      </c>
      <c r="D26" t="s">
        <v>606</v>
      </c>
      <c r="E26">
        <v>24</v>
      </c>
      <c r="F26" t="s">
        <v>607</v>
      </c>
      <c r="G26" t="s">
        <v>608</v>
      </c>
      <c r="H26" t="s">
        <v>320</v>
      </c>
      <c r="I26" t="s">
        <v>609</v>
      </c>
      <c r="V26" t="s">
        <v>43</v>
      </c>
      <c r="W26" t="s">
        <v>610</v>
      </c>
      <c r="X26" t="s">
        <v>611</v>
      </c>
      <c r="Y26" t="s">
        <v>612</v>
      </c>
      <c r="Z26">
        <v>24</v>
      </c>
      <c r="AA26" t="s">
        <v>613</v>
      </c>
      <c r="AB26" t="s">
        <v>614</v>
      </c>
      <c r="AD26" t="s">
        <v>615</v>
      </c>
    </row>
    <row r="27" spans="1:30">
      <c r="A27" t="s">
        <v>616</v>
      </c>
      <c r="B27" t="s">
        <v>617</v>
      </c>
      <c r="D27" t="s">
        <v>618</v>
      </c>
      <c r="E27">
        <v>25</v>
      </c>
      <c r="V27" t="s">
        <v>45</v>
      </c>
      <c r="W27" t="s">
        <v>619</v>
      </c>
      <c r="X27" t="s">
        <v>620</v>
      </c>
      <c r="Y27" t="s">
        <v>621</v>
      </c>
      <c r="Z27">
        <v>25</v>
      </c>
      <c r="AA27" t="s">
        <v>622</v>
      </c>
      <c r="AB27" t="s">
        <v>623</v>
      </c>
      <c r="AD27" t="s">
        <v>624</v>
      </c>
    </row>
    <row r="28" spans="1:30">
      <c r="A28" t="s">
        <v>625</v>
      </c>
      <c r="B28" t="s">
        <v>626</v>
      </c>
      <c r="C28" t="s">
        <v>627</v>
      </c>
      <c r="D28" t="s">
        <v>626</v>
      </c>
      <c r="E28">
        <v>26</v>
      </c>
      <c r="N28" t="s">
        <v>147</v>
      </c>
      <c r="O28" t="s">
        <v>330</v>
      </c>
      <c r="P28" t="s">
        <v>628</v>
      </c>
      <c r="Q28" t="s">
        <v>331</v>
      </c>
      <c r="V28" t="s">
        <v>46</v>
      </c>
      <c r="W28" t="s">
        <v>629</v>
      </c>
      <c r="X28" t="s">
        <v>630</v>
      </c>
      <c r="Y28" t="s">
        <v>631</v>
      </c>
      <c r="Z28">
        <v>26</v>
      </c>
      <c r="AA28" t="s">
        <v>632</v>
      </c>
      <c r="AB28" t="s">
        <v>633</v>
      </c>
      <c r="AD28" t="s">
        <v>634</v>
      </c>
    </row>
    <row r="29" spans="1:30">
      <c r="A29" t="s">
        <v>245</v>
      </c>
      <c r="B29" t="s">
        <v>635</v>
      </c>
      <c r="D29" t="s">
        <v>635</v>
      </c>
      <c r="E29">
        <v>27</v>
      </c>
      <c r="F29" t="s">
        <v>636</v>
      </c>
      <c r="G29" t="s">
        <v>637</v>
      </c>
      <c r="H29" t="s">
        <v>320</v>
      </c>
      <c r="I29" t="s">
        <v>638</v>
      </c>
      <c r="N29" t="s">
        <v>145</v>
      </c>
      <c r="O29" t="s">
        <v>639</v>
      </c>
      <c r="P29" t="s">
        <v>640</v>
      </c>
      <c r="Q29" t="s">
        <v>641</v>
      </c>
      <c r="V29" t="s">
        <v>47</v>
      </c>
      <c r="W29" t="s">
        <v>642</v>
      </c>
      <c r="X29" t="s">
        <v>643</v>
      </c>
      <c r="Y29" t="s">
        <v>644</v>
      </c>
      <c r="Z29">
        <v>27</v>
      </c>
      <c r="AA29" t="s">
        <v>232</v>
      </c>
      <c r="AB29" t="s">
        <v>645</v>
      </c>
      <c r="AD29" t="s">
        <v>366</v>
      </c>
    </row>
    <row r="30" spans="1:30">
      <c r="A30" s="3" t="s">
        <v>1262</v>
      </c>
      <c r="B30" t="s">
        <v>646</v>
      </c>
      <c r="C30" t="s">
        <v>647</v>
      </c>
      <c r="D30" t="s">
        <v>648</v>
      </c>
      <c r="E30">
        <v>28</v>
      </c>
      <c r="F30" t="s">
        <v>649</v>
      </c>
      <c r="G30" t="s">
        <v>650</v>
      </c>
      <c r="H30" t="s">
        <v>320</v>
      </c>
      <c r="I30" t="s">
        <v>651</v>
      </c>
      <c r="N30" t="s">
        <v>652</v>
      </c>
      <c r="O30" t="s">
        <v>653</v>
      </c>
      <c r="P30" t="s">
        <v>654</v>
      </c>
      <c r="Q30" t="s">
        <v>655</v>
      </c>
      <c r="V30" t="s">
        <v>48</v>
      </c>
      <c r="W30" t="s">
        <v>656</v>
      </c>
      <c r="X30" t="s">
        <v>657</v>
      </c>
      <c r="Y30" t="s">
        <v>658</v>
      </c>
      <c r="Z30">
        <v>28</v>
      </c>
      <c r="AA30" t="s">
        <v>659</v>
      </c>
      <c r="AB30" t="s">
        <v>659</v>
      </c>
      <c r="AD30" t="s">
        <v>659</v>
      </c>
    </row>
    <row r="31" spans="1:30">
      <c r="A31" t="s">
        <v>153</v>
      </c>
      <c r="B31" t="s">
        <v>660</v>
      </c>
      <c r="C31" t="s">
        <v>661</v>
      </c>
      <c r="D31" t="s">
        <v>662</v>
      </c>
      <c r="E31">
        <v>29</v>
      </c>
      <c r="N31" t="s">
        <v>663</v>
      </c>
      <c r="O31" t="s">
        <v>664</v>
      </c>
      <c r="P31" t="s">
        <v>665</v>
      </c>
      <c r="Q31" t="s">
        <v>666</v>
      </c>
      <c r="V31" t="s">
        <v>49</v>
      </c>
      <c r="W31" t="s">
        <v>667</v>
      </c>
      <c r="X31" t="s">
        <v>668</v>
      </c>
      <c r="Y31" t="s">
        <v>669</v>
      </c>
      <c r="Z31">
        <v>29</v>
      </c>
      <c r="AA31" t="s">
        <v>670</v>
      </c>
      <c r="AB31" t="s">
        <v>670</v>
      </c>
      <c r="AD31" t="s">
        <v>670</v>
      </c>
    </row>
    <row r="32" spans="1:30">
      <c r="A32" t="s">
        <v>671</v>
      </c>
      <c r="B32" t="s">
        <v>672</v>
      </c>
      <c r="C32" t="s">
        <v>673</v>
      </c>
      <c r="D32" t="s">
        <v>674</v>
      </c>
      <c r="E32">
        <v>30</v>
      </c>
      <c r="Q32" t="s">
        <v>675</v>
      </c>
      <c r="V32" t="s">
        <v>50</v>
      </c>
      <c r="W32" t="s">
        <v>676</v>
      </c>
      <c r="X32" t="s">
        <v>677</v>
      </c>
      <c r="Y32" t="s">
        <v>678</v>
      </c>
      <c r="Z32">
        <v>30</v>
      </c>
      <c r="AA32" t="s">
        <v>679</v>
      </c>
      <c r="AB32" t="s">
        <v>680</v>
      </c>
      <c r="AD32" t="s">
        <v>681</v>
      </c>
    </row>
    <row r="33" spans="1:30">
      <c r="A33" t="s">
        <v>5</v>
      </c>
      <c r="B33" t="s">
        <v>682</v>
      </c>
      <c r="C33" t="s">
        <v>683</v>
      </c>
      <c r="D33" t="s">
        <v>684</v>
      </c>
      <c r="E33">
        <v>31</v>
      </c>
      <c r="F33" t="s">
        <v>685</v>
      </c>
      <c r="G33" t="s">
        <v>686</v>
      </c>
      <c r="H33" t="s">
        <v>320</v>
      </c>
      <c r="I33" t="s">
        <v>687</v>
      </c>
      <c r="N33" t="s">
        <v>4</v>
      </c>
      <c r="O33" t="s">
        <v>688</v>
      </c>
      <c r="P33" t="s">
        <v>4</v>
      </c>
      <c r="Q33" t="s">
        <v>575</v>
      </c>
      <c r="V33" t="s">
        <v>51</v>
      </c>
      <c r="W33" t="s">
        <v>689</v>
      </c>
      <c r="X33" t="s">
        <v>690</v>
      </c>
      <c r="Y33" t="s">
        <v>691</v>
      </c>
      <c r="Z33">
        <v>31</v>
      </c>
      <c r="AA33" t="s">
        <v>692</v>
      </c>
      <c r="AB33" t="s">
        <v>693</v>
      </c>
      <c r="AD33" t="s">
        <v>694</v>
      </c>
    </row>
    <row r="34" spans="1:30">
      <c r="A34" t="s">
        <v>6</v>
      </c>
      <c r="B34" t="s">
        <v>695</v>
      </c>
      <c r="C34" t="s">
        <v>696</v>
      </c>
      <c r="D34" t="s">
        <v>697</v>
      </c>
      <c r="E34">
        <v>32</v>
      </c>
      <c r="N34" t="s">
        <v>585</v>
      </c>
      <c r="O34" t="s">
        <v>698</v>
      </c>
      <c r="P34" t="s">
        <v>585</v>
      </c>
      <c r="Q34" t="s">
        <v>699</v>
      </c>
      <c r="V34" t="s">
        <v>52</v>
      </c>
      <c r="W34" t="s">
        <v>700</v>
      </c>
      <c r="X34" t="s">
        <v>701</v>
      </c>
      <c r="Y34" t="s">
        <v>702</v>
      </c>
      <c r="Z34">
        <v>32</v>
      </c>
      <c r="AA34" t="s">
        <v>703</v>
      </c>
      <c r="AB34" t="s">
        <v>704</v>
      </c>
      <c r="AD34" t="s">
        <v>705</v>
      </c>
    </row>
    <row r="35" spans="1:30">
      <c r="A35" t="s">
        <v>7</v>
      </c>
      <c r="B35" t="s">
        <v>706</v>
      </c>
      <c r="C35" t="s">
        <v>707</v>
      </c>
      <c r="D35" t="s">
        <v>706</v>
      </c>
      <c r="E35">
        <v>33</v>
      </c>
      <c r="F35" t="s">
        <v>708</v>
      </c>
      <c r="G35" t="s">
        <v>709</v>
      </c>
      <c r="H35" t="s">
        <v>320</v>
      </c>
      <c r="I35" t="s">
        <v>710</v>
      </c>
      <c r="N35" t="s">
        <v>711</v>
      </c>
      <c r="O35" t="s">
        <v>712</v>
      </c>
      <c r="P35" t="s">
        <v>713</v>
      </c>
      <c r="Q35" t="s">
        <v>334</v>
      </c>
      <c r="V35" t="s">
        <v>53</v>
      </c>
      <c r="W35" t="s">
        <v>714</v>
      </c>
      <c r="X35" t="s">
        <v>715</v>
      </c>
      <c r="Y35" t="s">
        <v>716</v>
      </c>
      <c r="Z35">
        <v>33</v>
      </c>
      <c r="AA35" t="s">
        <v>717</v>
      </c>
      <c r="AB35" t="s">
        <v>718</v>
      </c>
      <c r="AD35" t="s">
        <v>719</v>
      </c>
    </row>
    <row r="36" spans="1:30">
      <c r="A36" t="s">
        <v>8</v>
      </c>
      <c r="B36" t="s">
        <v>720</v>
      </c>
      <c r="C36" t="s">
        <v>721</v>
      </c>
      <c r="D36" t="s">
        <v>722</v>
      </c>
      <c r="E36">
        <v>34</v>
      </c>
      <c r="F36" t="s">
        <v>723</v>
      </c>
      <c r="G36" t="s">
        <v>724</v>
      </c>
      <c r="I36" t="s">
        <v>725</v>
      </c>
      <c r="N36" t="s">
        <v>232</v>
      </c>
      <c r="O36" t="s">
        <v>364</v>
      </c>
      <c r="P36" t="s">
        <v>365</v>
      </c>
      <c r="Q36" t="s">
        <v>366</v>
      </c>
      <c r="V36" t="s">
        <v>54</v>
      </c>
      <c r="W36" t="s">
        <v>726</v>
      </c>
      <c r="X36" t="s">
        <v>727</v>
      </c>
      <c r="Y36" t="s">
        <v>728</v>
      </c>
      <c r="Z36">
        <v>34</v>
      </c>
      <c r="AA36" t="s">
        <v>729</v>
      </c>
      <c r="AB36" t="s">
        <v>730</v>
      </c>
      <c r="AD36" t="s">
        <v>730</v>
      </c>
    </row>
    <row r="37" spans="1:30">
      <c r="A37" t="s">
        <v>284</v>
      </c>
      <c r="B37" t="s">
        <v>720</v>
      </c>
      <c r="C37" t="s">
        <v>721</v>
      </c>
      <c r="D37" t="s">
        <v>722</v>
      </c>
      <c r="E37">
        <v>35</v>
      </c>
      <c r="F37" t="s">
        <v>731</v>
      </c>
      <c r="G37" t="s">
        <v>732</v>
      </c>
      <c r="H37" t="s">
        <v>320</v>
      </c>
      <c r="I37" t="s">
        <v>733</v>
      </c>
      <c r="N37" t="s">
        <v>263</v>
      </c>
      <c r="O37" t="s">
        <v>734</v>
      </c>
      <c r="P37" t="s">
        <v>533</v>
      </c>
      <c r="Q37" t="s">
        <v>735</v>
      </c>
      <c r="V37" t="s">
        <v>55</v>
      </c>
      <c r="W37" t="s">
        <v>736</v>
      </c>
      <c r="X37" t="s">
        <v>737</v>
      </c>
      <c r="Y37" t="s">
        <v>738</v>
      </c>
      <c r="Z37">
        <v>35</v>
      </c>
      <c r="AA37" t="s">
        <v>240</v>
      </c>
      <c r="AB37" t="s">
        <v>596</v>
      </c>
      <c r="AD37" t="s">
        <v>597</v>
      </c>
    </row>
    <row r="38" spans="1:30">
      <c r="A38" t="s">
        <v>286</v>
      </c>
      <c r="B38" t="s">
        <v>739</v>
      </c>
      <c r="C38" t="s">
        <v>740</v>
      </c>
      <c r="D38" t="s">
        <v>741</v>
      </c>
      <c r="E38">
        <v>36</v>
      </c>
      <c r="F38" t="s">
        <v>742</v>
      </c>
      <c r="G38" t="s">
        <v>743</v>
      </c>
      <c r="H38" t="s">
        <v>320</v>
      </c>
      <c r="I38" t="s">
        <v>744</v>
      </c>
      <c r="N38" t="s">
        <v>745</v>
      </c>
      <c r="O38" t="s">
        <v>746</v>
      </c>
      <c r="P38" t="s">
        <v>747</v>
      </c>
      <c r="Q38" t="s">
        <v>748</v>
      </c>
      <c r="V38" t="s">
        <v>40</v>
      </c>
      <c r="W38" t="s">
        <v>571</v>
      </c>
      <c r="X38" t="s">
        <v>572</v>
      </c>
      <c r="Y38" t="s">
        <v>573</v>
      </c>
      <c r="Z38">
        <v>36</v>
      </c>
      <c r="AA38" t="s">
        <v>749</v>
      </c>
      <c r="AB38" t="s">
        <v>750</v>
      </c>
      <c r="AD38" t="s">
        <v>751</v>
      </c>
    </row>
    <row r="39" spans="1:30">
      <c r="A39" t="s">
        <v>9</v>
      </c>
      <c r="B39" t="s">
        <v>739</v>
      </c>
      <c r="C39" t="s">
        <v>740</v>
      </c>
      <c r="D39" t="s">
        <v>741</v>
      </c>
      <c r="E39">
        <v>37</v>
      </c>
      <c r="F39" t="s">
        <v>752</v>
      </c>
      <c r="G39" t="s">
        <v>753</v>
      </c>
      <c r="H39" t="s">
        <v>320</v>
      </c>
      <c r="I39" t="s">
        <v>754</v>
      </c>
      <c r="N39" t="s">
        <v>12</v>
      </c>
      <c r="O39" t="s">
        <v>755</v>
      </c>
      <c r="P39" t="s">
        <v>328</v>
      </c>
      <c r="Q39" t="s">
        <v>329</v>
      </c>
      <c r="V39" t="s">
        <v>56</v>
      </c>
      <c r="W39" t="s">
        <v>756</v>
      </c>
      <c r="X39" t="s">
        <v>757</v>
      </c>
      <c r="Y39" t="s">
        <v>758</v>
      </c>
      <c r="Z39">
        <v>37</v>
      </c>
      <c r="AA39" t="s">
        <v>150</v>
      </c>
      <c r="AB39" t="s">
        <v>517</v>
      </c>
      <c r="AC39" t="s">
        <v>518</v>
      </c>
      <c r="AD39" t="s">
        <v>519</v>
      </c>
    </row>
    <row r="40" spans="1:30">
      <c r="A40" s="3" t="s">
        <v>1263</v>
      </c>
      <c r="B40" s="3" t="s">
        <v>1264</v>
      </c>
      <c r="C40" s="3" t="s">
        <v>1265</v>
      </c>
      <c r="D40" t="s">
        <v>759</v>
      </c>
      <c r="E40">
        <v>38</v>
      </c>
      <c r="F40" t="s">
        <v>760</v>
      </c>
      <c r="G40" t="s">
        <v>761</v>
      </c>
      <c r="H40" t="s">
        <v>320</v>
      </c>
      <c r="I40" t="s">
        <v>762</v>
      </c>
      <c r="V40" t="s">
        <v>57</v>
      </c>
      <c r="W40" t="s">
        <v>763</v>
      </c>
      <c r="X40" t="s">
        <v>764</v>
      </c>
      <c r="Y40" t="s">
        <v>765</v>
      </c>
      <c r="Z40">
        <v>38</v>
      </c>
      <c r="AA40" t="s">
        <v>745</v>
      </c>
      <c r="AB40" t="s">
        <v>746</v>
      </c>
      <c r="AC40" t="s">
        <v>747</v>
      </c>
      <c r="AD40" t="s">
        <v>748</v>
      </c>
    </row>
    <row r="41" spans="1:30">
      <c r="A41" s="3" t="s">
        <v>1266</v>
      </c>
      <c r="B41" t="s">
        <v>766</v>
      </c>
      <c r="C41" s="3" t="s">
        <v>1267</v>
      </c>
      <c r="D41" t="s">
        <v>767</v>
      </c>
      <c r="E41">
        <v>39</v>
      </c>
      <c r="F41" t="s">
        <v>768</v>
      </c>
      <c r="G41" t="s">
        <v>769</v>
      </c>
      <c r="H41" t="s">
        <v>320</v>
      </c>
      <c r="I41" t="s">
        <v>770</v>
      </c>
      <c r="N41" t="s">
        <v>771</v>
      </c>
      <c r="O41" t="s">
        <v>772</v>
      </c>
      <c r="P41" t="s">
        <v>773</v>
      </c>
      <c r="Q41" t="s">
        <v>681</v>
      </c>
      <c r="Z41">
        <v>39</v>
      </c>
      <c r="AA41" t="s">
        <v>774</v>
      </c>
      <c r="AB41" t="s">
        <v>775</v>
      </c>
      <c r="AD41" t="s">
        <v>775</v>
      </c>
    </row>
    <row r="42" spans="1:30">
      <c r="A42" s="3" t="s">
        <v>1268</v>
      </c>
      <c r="B42" t="s">
        <v>776</v>
      </c>
      <c r="C42" s="3" t="s">
        <v>1269</v>
      </c>
      <c r="D42" s="3" t="s">
        <v>1270</v>
      </c>
      <c r="E42">
        <v>40</v>
      </c>
      <c r="F42" t="s">
        <v>777</v>
      </c>
      <c r="G42" t="s">
        <v>778</v>
      </c>
      <c r="H42" t="s">
        <v>320</v>
      </c>
      <c r="I42" t="s">
        <v>779</v>
      </c>
      <c r="N42" t="s">
        <v>780</v>
      </c>
      <c r="O42" t="s">
        <v>781</v>
      </c>
      <c r="P42" t="s">
        <v>782</v>
      </c>
      <c r="Q42" t="s">
        <v>783</v>
      </c>
      <c r="V42" t="s">
        <v>58</v>
      </c>
      <c r="W42" t="s">
        <v>784</v>
      </c>
      <c r="X42" t="s">
        <v>785</v>
      </c>
      <c r="Y42" t="s">
        <v>786</v>
      </c>
      <c r="Z42">
        <v>40</v>
      </c>
      <c r="AA42" t="s">
        <v>787</v>
      </c>
      <c r="AB42" t="s">
        <v>788</v>
      </c>
      <c r="AD42" t="s">
        <v>789</v>
      </c>
    </row>
    <row r="43" spans="1:30">
      <c r="A43" s="3" t="s">
        <v>1271</v>
      </c>
      <c r="B43" t="s">
        <v>790</v>
      </c>
      <c r="C43" s="3" t="s">
        <v>1272</v>
      </c>
      <c r="D43" s="3" t="s">
        <v>1273</v>
      </c>
      <c r="E43">
        <v>41</v>
      </c>
      <c r="F43" t="s">
        <v>791</v>
      </c>
      <c r="G43" t="s">
        <v>792</v>
      </c>
      <c r="H43" t="s">
        <v>320</v>
      </c>
      <c r="I43" t="s">
        <v>793</v>
      </c>
      <c r="N43" t="s">
        <v>794</v>
      </c>
      <c r="O43" t="s">
        <v>795</v>
      </c>
      <c r="P43" t="s">
        <v>796</v>
      </c>
      <c r="Q43" t="s">
        <v>797</v>
      </c>
      <c r="V43" t="s">
        <v>59</v>
      </c>
      <c r="W43" t="s">
        <v>798</v>
      </c>
      <c r="X43" t="s">
        <v>799</v>
      </c>
      <c r="Y43" t="s">
        <v>800</v>
      </c>
      <c r="Z43">
        <v>41</v>
      </c>
      <c r="AA43" t="s">
        <v>801</v>
      </c>
      <c r="AB43" t="s">
        <v>802</v>
      </c>
      <c r="AD43" t="s">
        <v>803</v>
      </c>
    </row>
    <row r="44" spans="1:30">
      <c r="A44" t="s">
        <v>804</v>
      </c>
      <c r="B44" t="s">
        <v>805</v>
      </c>
      <c r="C44" t="s">
        <v>806</v>
      </c>
      <c r="D44" t="s">
        <v>807</v>
      </c>
      <c r="E44">
        <v>42</v>
      </c>
      <c r="G44" t="s">
        <v>319</v>
      </c>
      <c r="H44" t="s">
        <v>320</v>
      </c>
      <c r="I44" t="s">
        <v>321</v>
      </c>
      <c r="N44" t="s">
        <v>808</v>
      </c>
      <c r="O44" t="s">
        <v>809</v>
      </c>
      <c r="P44" t="s">
        <v>810</v>
      </c>
      <c r="V44" t="s">
        <v>61</v>
      </c>
      <c r="W44" t="s">
        <v>811</v>
      </c>
      <c r="X44" t="s">
        <v>812</v>
      </c>
      <c r="Y44" t="s">
        <v>813</v>
      </c>
      <c r="Z44">
        <v>42</v>
      </c>
      <c r="AA44" t="s">
        <v>814</v>
      </c>
      <c r="AB44" t="s">
        <v>815</v>
      </c>
      <c r="AD44" t="s">
        <v>816</v>
      </c>
    </row>
    <row r="45" spans="1:30">
      <c r="A45" t="s">
        <v>257</v>
      </c>
      <c r="B45" t="s">
        <v>680</v>
      </c>
      <c r="D45" t="s">
        <v>807</v>
      </c>
      <c r="E45">
        <v>43</v>
      </c>
      <c r="G45" t="s">
        <v>319</v>
      </c>
      <c r="H45" t="s">
        <v>320</v>
      </c>
      <c r="I45" t="s">
        <v>321</v>
      </c>
      <c r="N45" t="s">
        <v>817</v>
      </c>
      <c r="Q45" t="s">
        <v>818</v>
      </c>
      <c r="V45" t="s">
        <v>63</v>
      </c>
      <c r="W45" t="s">
        <v>819</v>
      </c>
      <c r="X45" t="s">
        <v>820</v>
      </c>
      <c r="Y45" t="s">
        <v>821</v>
      </c>
      <c r="Z45">
        <v>43</v>
      </c>
    </row>
    <row r="46" spans="1:30">
      <c r="A46" s="3" t="s">
        <v>1274</v>
      </c>
      <c r="B46" s="3" t="s">
        <v>1275</v>
      </c>
      <c r="C46" t="s">
        <v>822</v>
      </c>
      <c r="D46" s="3" t="s">
        <v>1276</v>
      </c>
      <c r="E46">
        <v>44</v>
      </c>
      <c r="G46" t="s">
        <v>319</v>
      </c>
      <c r="H46" t="s">
        <v>320</v>
      </c>
      <c r="I46" t="s">
        <v>321</v>
      </c>
      <c r="N46" t="s">
        <v>774</v>
      </c>
      <c r="O46" t="s">
        <v>823</v>
      </c>
      <c r="P46" t="s">
        <v>824</v>
      </c>
      <c r="Q46" t="s">
        <v>775</v>
      </c>
      <c r="V46" t="s">
        <v>64</v>
      </c>
      <c r="W46" t="s">
        <v>825</v>
      </c>
      <c r="X46" t="s">
        <v>826</v>
      </c>
      <c r="Y46" t="s">
        <v>827</v>
      </c>
      <c r="Z46">
        <v>44</v>
      </c>
      <c r="AA46" t="s">
        <v>775</v>
      </c>
      <c r="AB46" t="s">
        <v>775</v>
      </c>
      <c r="AC46" t="s">
        <v>828</v>
      </c>
      <c r="AD46" t="s">
        <v>775</v>
      </c>
    </row>
    <row r="47" spans="1:30">
      <c r="A47" t="s">
        <v>301</v>
      </c>
      <c r="B47" t="s">
        <v>829</v>
      </c>
      <c r="C47" t="s">
        <v>830</v>
      </c>
      <c r="D47" t="s">
        <v>831</v>
      </c>
      <c r="E47">
        <v>45</v>
      </c>
      <c r="G47" t="s">
        <v>319</v>
      </c>
      <c r="H47" t="s">
        <v>320</v>
      </c>
      <c r="I47" t="s">
        <v>321</v>
      </c>
      <c r="Q47" t="s">
        <v>832</v>
      </c>
      <c r="V47" t="s">
        <v>66</v>
      </c>
      <c r="W47" t="s">
        <v>833</v>
      </c>
      <c r="X47" t="s">
        <v>834</v>
      </c>
      <c r="Y47" t="s">
        <v>835</v>
      </c>
      <c r="Z47">
        <v>45</v>
      </c>
      <c r="AA47" t="s">
        <v>836</v>
      </c>
      <c r="AB47" t="s">
        <v>837</v>
      </c>
      <c r="AC47" t="s">
        <v>838</v>
      </c>
      <c r="AD47" t="s">
        <v>837</v>
      </c>
    </row>
    <row r="48" spans="1:30">
      <c r="A48" t="s">
        <v>839</v>
      </c>
      <c r="B48" t="s">
        <v>840</v>
      </c>
      <c r="C48" t="s">
        <v>841</v>
      </c>
      <c r="D48" t="s">
        <v>842</v>
      </c>
      <c r="E48">
        <v>46</v>
      </c>
      <c r="G48" t="s">
        <v>319</v>
      </c>
      <c r="H48" t="s">
        <v>320</v>
      </c>
      <c r="I48" t="s">
        <v>321</v>
      </c>
      <c r="Q48" t="s">
        <v>837</v>
      </c>
      <c r="V48" t="s">
        <v>67</v>
      </c>
      <c r="W48" t="s">
        <v>843</v>
      </c>
      <c r="X48" t="s">
        <v>844</v>
      </c>
      <c r="Y48" t="s">
        <v>845</v>
      </c>
      <c r="Z48">
        <v>46</v>
      </c>
      <c r="AA48" t="s">
        <v>846</v>
      </c>
      <c r="AB48" t="s">
        <v>847</v>
      </c>
      <c r="AC48" t="s">
        <v>848</v>
      </c>
      <c r="AD48" t="s">
        <v>847</v>
      </c>
    </row>
    <row r="49" spans="1:30">
      <c r="A49" s="3" t="s">
        <v>1277</v>
      </c>
      <c r="B49" s="3" t="s">
        <v>1278</v>
      </c>
      <c r="C49" t="s">
        <v>849</v>
      </c>
      <c r="D49" s="3" t="s">
        <v>1279</v>
      </c>
      <c r="E49">
        <v>47</v>
      </c>
      <c r="G49" t="s">
        <v>319</v>
      </c>
      <c r="H49" t="s">
        <v>320</v>
      </c>
      <c r="I49" t="s">
        <v>321</v>
      </c>
      <c r="V49" t="s">
        <v>68</v>
      </c>
      <c r="W49" t="s">
        <v>850</v>
      </c>
      <c r="X49" t="s">
        <v>851</v>
      </c>
      <c r="Y49" t="s">
        <v>852</v>
      </c>
      <c r="Z49">
        <v>47</v>
      </c>
      <c r="AA49" t="s">
        <v>275</v>
      </c>
      <c r="AB49" t="s">
        <v>576</v>
      </c>
      <c r="AC49" t="s">
        <v>577</v>
      </c>
      <c r="AD49" t="s">
        <v>578</v>
      </c>
    </row>
    <row r="50" spans="1:30">
      <c r="A50" t="s">
        <v>249</v>
      </c>
      <c r="B50" t="s">
        <v>853</v>
      </c>
      <c r="C50" t="s">
        <v>849</v>
      </c>
      <c r="D50" t="s">
        <v>854</v>
      </c>
      <c r="E50">
        <v>48</v>
      </c>
      <c r="G50" t="s">
        <v>319</v>
      </c>
      <c r="H50" t="s">
        <v>320</v>
      </c>
      <c r="I50" t="s">
        <v>321</v>
      </c>
      <c r="N50" t="s">
        <v>836</v>
      </c>
      <c r="O50" t="s">
        <v>837</v>
      </c>
      <c r="P50" t="s">
        <v>838</v>
      </c>
      <c r="Q50" t="s">
        <v>837</v>
      </c>
      <c r="V50" t="s">
        <v>69</v>
      </c>
      <c r="W50" t="s">
        <v>855</v>
      </c>
      <c r="X50" t="s">
        <v>856</v>
      </c>
      <c r="Y50" t="s">
        <v>857</v>
      </c>
      <c r="Z50">
        <v>48</v>
      </c>
      <c r="AA50" t="s">
        <v>858</v>
      </c>
      <c r="AB50" t="s">
        <v>859</v>
      </c>
      <c r="AD50" t="s">
        <v>860</v>
      </c>
    </row>
    <row r="51" spans="1:30">
      <c r="A51" s="3" t="s">
        <v>1280</v>
      </c>
      <c r="B51" s="3" t="s">
        <v>1281</v>
      </c>
      <c r="C51" t="s">
        <v>861</v>
      </c>
      <c r="D51" t="s">
        <v>807</v>
      </c>
      <c r="E51">
        <v>49</v>
      </c>
      <c r="G51" t="s">
        <v>319</v>
      </c>
      <c r="H51" t="s">
        <v>320</v>
      </c>
      <c r="I51" t="s">
        <v>321</v>
      </c>
      <c r="N51" t="s">
        <v>846</v>
      </c>
      <c r="O51" t="s">
        <v>847</v>
      </c>
      <c r="P51" t="s">
        <v>848</v>
      </c>
      <c r="Q51" t="s">
        <v>847</v>
      </c>
      <c r="V51" t="s">
        <v>70</v>
      </c>
      <c r="W51" t="s">
        <v>862</v>
      </c>
      <c r="X51" t="s">
        <v>863</v>
      </c>
      <c r="Y51" t="s">
        <v>864</v>
      </c>
      <c r="Z51">
        <v>49</v>
      </c>
      <c r="AA51" t="s">
        <v>865</v>
      </c>
      <c r="AB51" t="s">
        <v>866</v>
      </c>
      <c r="AD51" t="s">
        <v>867</v>
      </c>
    </row>
    <row r="52" spans="1:30">
      <c r="A52" s="3" t="s">
        <v>1282</v>
      </c>
      <c r="B52" s="3" t="s">
        <v>1283</v>
      </c>
      <c r="C52" t="s">
        <v>868</v>
      </c>
      <c r="D52" s="3" t="s">
        <v>1284</v>
      </c>
      <c r="E52">
        <v>50</v>
      </c>
      <c r="F52" t="s">
        <v>869</v>
      </c>
      <c r="G52" t="s">
        <v>870</v>
      </c>
      <c r="H52" t="s">
        <v>320</v>
      </c>
      <c r="I52" t="s">
        <v>871</v>
      </c>
      <c r="V52" t="s">
        <v>71</v>
      </c>
      <c r="W52" t="s">
        <v>872</v>
      </c>
      <c r="X52" t="s">
        <v>873</v>
      </c>
      <c r="Y52" t="s">
        <v>873</v>
      </c>
      <c r="Z52">
        <v>50</v>
      </c>
      <c r="AA52" t="s">
        <v>874</v>
      </c>
      <c r="AB52" t="s">
        <v>875</v>
      </c>
      <c r="AD52" t="s">
        <v>876</v>
      </c>
    </row>
    <row r="53" spans="1:30">
      <c r="A53" s="3" t="s">
        <v>1285</v>
      </c>
      <c r="B53" s="3" t="s">
        <v>1286</v>
      </c>
      <c r="C53" s="3" t="s">
        <v>1287</v>
      </c>
      <c r="D53" s="3" t="s">
        <v>1288</v>
      </c>
      <c r="V53" t="s">
        <v>72</v>
      </c>
      <c r="W53" t="s">
        <v>877</v>
      </c>
      <c r="X53" t="s">
        <v>877</v>
      </c>
      <c r="Y53" t="s">
        <v>877</v>
      </c>
      <c r="Z53">
        <v>51</v>
      </c>
      <c r="AA53" t="s">
        <v>878</v>
      </c>
      <c r="AB53" t="s">
        <v>879</v>
      </c>
      <c r="AD53" t="s">
        <v>880</v>
      </c>
    </row>
    <row r="54" spans="1:30">
      <c r="A54" t="s">
        <v>291</v>
      </c>
      <c r="B54" t="s">
        <v>881</v>
      </c>
      <c r="C54" t="s">
        <v>882</v>
      </c>
      <c r="D54" t="s">
        <v>883</v>
      </c>
      <c r="V54" t="s">
        <v>73</v>
      </c>
      <c r="W54" t="s">
        <v>884</v>
      </c>
      <c r="X54" t="s">
        <v>885</v>
      </c>
      <c r="Y54" t="s">
        <v>886</v>
      </c>
      <c r="Z54">
        <v>52</v>
      </c>
      <c r="AA54" t="s">
        <v>887</v>
      </c>
      <c r="AB54" t="s">
        <v>888</v>
      </c>
      <c r="AD54" t="s">
        <v>889</v>
      </c>
    </row>
    <row r="55" spans="1:30">
      <c r="A55" t="s">
        <v>253</v>
      </c>
      <c r="B55" t="s">
        <v>890</v>
      </c>
      <c r="C55" t="s">
        <v>891</v>
      </c>
      <c r="D55" t="s">
        <v>892</v>
      </c>
      <c r="V55" t="s">
        <v>74</v>
      </c>
      <c r="W55" t="s">
        <v>893</v>
      </c>
      <c r="X55" t="s">
        <v>894</v>
      </c>
      <c r="Y55" t="s">
        <v>895</v>
      </c>
      <c r="Z55">
        <v>53</v>
      </c>
      <c r="AA55" t="s">
        <v>896</v>
      </c>
      <c r="AB55" t="s">
        <v>897</v>
      </c>
      <c r="AD55" t="s">
        <v>898</v>
      </c>
    </row>
    <row r="56" spans="1:30">
      <c r="A56" t="s">
        <v>295</v>
      </c>
      <c r="B56" t="s">
        <v>899</v>
      </c>
      <c r="C56" t="s">
        <v>900</v>
      </c>
      <c r="D56" t="s">
        <v>901</v>
      </c>
      <c r="V56" t="s">
        <v>76</v>
      </c>
      <c r="W56" t="s">
        <v>902</v>
      </c>
      <c r="X56" t="s">
        <v>903</v>
      </c>
      <c r="Y56" t="s">
        <v>902</v>
      </c>
      <c r="Z56">
        <v>54</v>
      </c>
      <c r="AA56" t="s">
        <v>904</v>
      </c>
      <c r="AB56" t="s">
        <v>905</v>
      </c>
      <c r="AD56" t="s">
        <v>906</v>
      </c>
    </row>
    <row r="57" spans="1:30">
      <c r="A57" t="s">
        <v>257</v>
      </c>
      <c r="B57" t="s">
        <v>907</v>
      </c>
      <c r="C57" t="s">
        <v>908</v>
      </c>
      <c r="D57" t="s">
        <v>807</v>
      </c>
      <c r="V57" t="s">
        <v>78</v>
      </c>
      <c r="W57" t="s">
        <v>909</v>
      </c>
      <c r="X57" t="s">
        <v>78</v>
      </c>
      <c r="Y57" t="s">
        <v>78</v>
      </c>
      <c r="Z57">
        <v>55</v>
      </c>
      <c r="AA57" t="s">
        <v>910</v>
      </c>
      <c r="AB57" t="s">
        <v>911</v>
      </c>
      <c r="AD57" t="s">
        <v>912</v>
      </c>
    </row>
    <row r="58" spans="1:30">
      <c r="A58" t="s">
        <v>8</v>
      </c>
      <c r="B58" t="s">
        <v>913</v>
      </c>
      <c r="C58" t="s">
        <v>721</v>
      </c>
      <c r="D58" t="s">
        <v>722</v>
      </c>
      <c r="V58" t="s">
        <v>80</v>
      </c>
      <c r="W58" t="s">
        <v>914</v>
      </c>
      <c r="X58" t="s">
        <v>915</v>
      </c>
      <c r="Y58" t="s">
        <v>80</v>
      </c>
      <c r="Z58">
        <v>56</v>
      </c>
      <c r="AA58" t="s">
        <v>916</v>
      </c>
      <c r="AB58" t="s">
        <v>917</v>
      </c>
      <c r="AD58" t="s">
        <v>918</v>
      </c>
    </row>
    <row r="59" spans="1:30">
      <c r="A59" t="s">
        <v>296</v>
      </c>
      <c r="B59" t="s">
        <v>919</v>
      </c>
      <c r="C59" t="s">
        <v>920</v>
      </c>
      <c r="D59" t="s">
        <v>921</v>
      </c>
      <c r="V59" t="s">
        <v>81</v>
      </c>
      <c r="W59" t="s">
        <v>922</v>
      </c>
      <c r="X59" t="s">
        <v>923</v>
      </c>
      <c r="Y59" t="s">
        <v>924</v>
      </c>
      <c r="Z59">
        <v>57</v>
      </c>
      <c r="AA59" t="s">
        <v>150</v>
      </c>
      <c r="AB59" t="s">
        <v>517</v>
      </c>
      <c r="AD59" t="s">
        <v>519</v>
      </c>
    </row>
    <row r="60" spans="1:30">
      <c r="A60" t="s">
        <v>298</v>
      </c>
      <c r="B60" t="s">
        <v>925</v>
      </c>
      <c r="C60" s="3" t="s">
        <v>1289</v>
      </c>
      <c r="D60" t="s">
        <v>926</v>
      </c>
      <c r="V60" t="s">
        <v>76</v>
      </c>
      <c r="W60" t="s">
        <v>902</v>
      </c>
      <c r="X60" t="s">
        <v>903</v>
      </c>
      <c r="Y60" t="s">
        <v>902</v>
      </c>
      <c r="Z60">
        <v>58</v>
      </c>
      <c r="AA60" t="s">
        <v>927</v>
      </c>
      <c r="AB60" t="s">
        <v>928</v>
      </c>
      <c r="AD60" t="s">
        <v>929</v>
      </c>
    </row>
    <row r="61" spans="1:30">
      <c r="A61" t="s">
        <v>930</v>
      </c>
      <c r="B61" t="s">
        <v>931</v>
      </c>
      <c r="C61" t="s">
        <v>932</v>
      </c>
      <c r="D61" t="s">
        <v>933</v>
      </c>
      <c r="V61" t="s">
        <v>77</v>
      </c>
      <c r="W61" t="s">
        <v>934</v>
      </c>
      <c r="X61" t="s">
        <v>935</v>
      </c>
      <c r="Y61" t="s">
        <v>936</v>
      </c>
      <c r="Z61">
        <v>59</v>
      </c>
      <c r="AA61" t="s">
        <v>937</v>
      </c>
      <c r="AB61" t="s">
        <v>938</v>
      </c>
      <c r="AD61" t="s">
        <v>939</v>
      </c>
    </row>
    <row r="62" spans="1:30">
      <c r="A62" t="s">
        <v>940</v>
      </c>
      <c r="B62" t="s">
        <v>941</v>
      </c>
      <c r="D62" t="s">
        <v>942</v>
      </c>
      <c r="V62" t="s">
        <v>88</v>
      </c>
      <c r="W62" t="s">
        <v>943</v>
      </c>
      <c r="X62" t="s">
        <v>944</v>
      </c>
      <c r="Y62" t="s">
        <v>945</v>
      </c>
      <c r="Z62">
        <v>60</v>
      </c>
      <c r="AA62" t="s">
        <v>946</v>
      </c>
      <c r="AB62" t="s">
        <v>947</v>
      </c>
      <c r="AD62" t="s">
        <v>948</v>
      </c>
    </row>
    <row r="63" spans="1:30">
      <c r="A63" t="s">
        <v>949</v>
      </c>
      <c r="B63" t="s">
        <v>950</v>
      </c>
      <c r="D63" t="s">
        <v>951</v>
      </c>
      <c r="V63" t="s">
        <v>89</v>
      </c>
      <c r="W63" t="s">
        <v>952</v>
      </c>
      <c r="X63" t="s">
        <v>953</v>
      </c>
      <c r="Y63" t="s">
        <v>954</v>
      </c>
      <c r="Z63">
        <v>61</v>
      </c>
      <c r="AA63" t="s">
        <v>955</v>
      </c>
      <c r="AB63" t="s">
        <v>956</v>
      </c>
      <c r="AD63" t="s">
        <v>957</v>
      </c>
    </row>
    <row r="64" spans="1:30">
      <c r="A64" t="s">
        <v>958</v>
      </c>
      <c r="B64" t="s">
        <v>959</v>
      </c>
      <c r="C64" t="s">
        <v>960</v>
      </c>
      <c r="D64" t="s">
        <v>961</v>
      </c>
      <c r="V64" t="s">
        <v>90</v>
      </c>
      <c r="W64" t="s">
        <v>962</v>
      </c>
      <c r="X64" t="s">
        <v>963</v>
      </c>
      <c r="Y64" t="s">
        <v>964</v>
      </c>
      <c r="Z64">
        <v>62</v>
      </c>
      <c r="AA64" t="s">
        <v>965</v>
      </c>
      <c r="AB64" t="s">
        <v>966</v>
      </c>
      <c r="AD64" t="s">
        <v>967</v>
      </c>
    </row>
    <row r="65" spans="1:30">
      <c r="A65" t="s">
        <v>968</v>
      </c>
      <c r="B65" t="s">
        <v>969</v>
      </c>
      <c r="C65" t="s">
        <v>970</v>
      </c>
      <c r="D65" t="s">
        <v>971</v>
      </c>
      <c r="V65" t="s">
        <v>71</v>
      </c>
      <c r="W65" t="s">
        <v>872</v>
      </c>
      <c r="X65" t="s">
        <v>873</v>
      </c>
      <c r="Y65" t="s">
        <v>873</v>
      </c>
      <c r="Z65">
        <v>63</v>
      </c>
      <c r="AA65" t="s">
        <v>972</v>
      </c>
      <c r="AB65" t="s">
        <v>973</v>
      </c>
      <c r="AD65" t="s">
        <v>974</v>
      </c>
    </row>
    <row r="66" spans="1:30">
      <c r="A66" t="s">
        <v>975</v>
      </c>
      <c r="B66" t="s">
        <v>976</v>
      </c>
      <c r="C66" t="s">
        <v>977</v>
      </c>
      <c r="D66" t="s">
        <v>978</v>
      </c>
      <c r="V66" t="s">
        <v>92</v>
      </c>
      <c r="W66" t="s">
        <v>979</v>
      </c>
      <c r="X66" t="s">
        <v>980</v>
      </c>
      <c r="Y66" t="s">
        <v>981</v>
      </c>
      <c r="Z66">
        <v>64</v>
      </c>
      <c r="AA66" t="s">
        <v>982</v>
      </c>
      <c r="AB66" t="s">
        <v>983</v>
      </c>
      <c r="AD66" t="s">
        <v>984</v>
      </c>
    </row>
    <row r="67" spans="1:30">
      <c r="A67" t="s">
        <v>985</v>
      </c>
      <c r="B67" t="s">
        <v>986</v>
      </c>
      <c r="C67" t="s">
        <v>987</v>
      </c>
      <c r="D67" t="s">
        <v>988</v>
      </c>
      <c r="V67" t="s">
        <v>93</v>
      </c>
      <c r="W67" t="s">
        <v>989</v>
      </c>
      <c r="X67" t="s">
        <v>990</v>
      </c>
      <c r="Y67" t="s">
        <v>991</v>
      </c>
      <c r="Z67">
        <v>65</v>
      </c>
      <c r="AA67" t="s">
        <v>992</v>
      </c>
      <c r="AB67" t="s">
        <v>993</v>
      </c>
      <c r="AD67" t="s">
        <v>994</v>
      </c>
    </row>
    <row r="68" spans="1:30">
      <c r="A68" t="s">
        <v>142</v>
      </c>
      <c r="B68" t="s">
        <v>995</v>
      </c>
      <c r="C68" t="s">
        <v>996</v>
      </c>
      <c r="D68" t="s">
        <v>142</v>
      </c>
      <c r="Z68">
        <v>66</v>
      </c>
      <c r="AA68" t="s">
        <v>997</v>
      </c>
      <c r="AB68" t="s">
        <v>998</v>
      </c>
      <c r="AD68" t="s">
        <v>735</v>
      </c>
    </row>
    <row r="69" spans="1:30">
      <c r="A69" t="s">
        <v>143</v>
      </c>
      <c r="B69" t="s">
        <v>999</v>
      </c>
      <c r="C69" t="s">
        <v>1000</v>
      </c>
      <c r="D69" t="s">
        <v>1001</v>
      </c>
      <c r="Z69">
        <v>67</v>
      </c>
      <c r="AA69" t="s">
        <v>266</v>
      </c>
      <c r="AB69" t="s">
        <v>544</v>
      </c>
      <c r="AD69" t="s">
        <v>545</v>
      </c>
    </row>
    <row r="70" spans="1:30">
      <c r="A70" t="s">
        <v>144</v>
      </c>
      <c r="B70" t="s">
        <v>1002</v>
      </c>
      <c r="C70" t="s">
        <v>1003</v>
      </c>
      <c r="D70" t="s">
        <v>1004</v>
      </c>
      <c r="Z70">
        <v>68</v>
      </c>
      <c r="AA70" t="s">
        <v>270</v>
      </c>
      <c r="AB70" t="s">
        <v>554</v>
      </c>
      <c r="AD70" t="s">
        <v>555</v>
      </c>
    </row>
    <row r="71" spans="1:30">
      <c r="A71" t="s">
        <v>145</v>
      </c>
      <c r="B71" t="s">
        <v>639</v>
      </c>
      <c r="C71" t="s">
        <v>640</v>
      </c>
      <c r="D71" t="s">
        <v>641</v>
      </c>
      <c r="Z71">
        <v>69</v>
      </c>
    </row>
    <row r="72" spans="1:30">
      <c r="A72" t="s">
        <v>146</v>
      </c>
      <c r="B72" t="s">
        <v>1005</v>
      </c>
      <c r="C72" t="s">
        <v>1006</v>
      </c>
      <c r="D72" t="s">
        <v>1007</v>
      </c>
      <c r="Z72">
        <v>70</v>
      </c>
    </row>
    <row r="73" spans="1:30">
      <c r="A73" t="s">
        <v>147</v>
      </c>
      <c r="B73" t="s">
        <v>330</v>
      </c>
      <c r="C73" t="s">
        <v>628</v>
      </c>
      <c r="D73" t="s">
        <v>331</v>
      </c>
      <c r="Z73">
        <v>71</v>
      </c>
      <c r="AA73" t="s">
        <v>65</v>
      </c>
      <c r="AB73" t="s">
        <v>65</v>
      </c>
      <c r="AD73" t="s">
        <v>65</v>
      </c>
    </row>
    <row r="74" spans="1:30">
      <c r="A74" t="s">
        <v>148</v>
      </c>
      <c r="B74" t="s">
        <v>1008</v>
      </c>
      <c r="C74" t="s">
        <v>1009</v>
      </c>
      <c r="D74" t="s">
        <v>1010</v>
      </c>
      <c r="Z74">
        <v>72</v>
      </c>
      <c r="AA74" t="s">
        <v>1011</v>
      </c>
      <c r="AB74" t="s">
        <v>1011</v>
      </c>
      <c r="AD74" t="s">
        <v>1011</v>
      </c>
    </row>
    <row r="75" spans="1:30">
      <c r="A75" t="s">
        <v>149</v>
      </c>
      <c r="B75" t="s">
        <v>1012</v>
      </c>
      <c r="C75" t="s">
        <v>1013</v>
      </c>
      <c r="D75" t="s">
        <v>1014</v>
      </c>
      <c r="Z75">
        <v>73</v>
      </c>
      <c r="AA75" t="s">
        <v>62</v>
      </c>
      <c r="AB75" t="s">
        <v>1015</v>
      </c>
      <c r="AD75" t="s">
        <v>1016</v>
      </c>
    </row>
    <row r="76" spans="1:30">
      <c r="A76" t="s">
        <v>150</v>
      </c>
      <c r="B76" t="s">
        <v>517</v>
      </c>
      <c r="C76" t="s">
        <v>518</v>
      </c>
      <c r="D76" t="s">
        <v>519</v>
      </c>
      <c r="Z76">
        <v>74</v>
      </c>
      <c r="AA76" t="s">
        <v>1017</v>
      </c>
      <c r="AB76" t="s">
        <v>1018</v>
      </c>
      <c r="AD76" t="s">
        <v>1019</v>
      </c>
    </row>
    <row r="77" spans="1:30">
      <c r="A77" t="s">
        <v>151</v>
      </c>
      <c r="B77" t="s">
        <v>1020</v>
      </c>
      <c r="C77" t="s">
        <v>1021</v>
      </c>
      <c r="D77" t="s">
        <v>1022</v>
      </c>
      <c r="Z77">
        <v>75</v>
      </c>
    </row>
    <row r="78" spans="1:30">
      <c r="A78" t="s">
        <v>152</v>
      </c>
      <c r="B78" t="s">
        <v>1023</v>
      </c>
      <c r="C78" t="s">
        <v>1024</v>
      </c>
      <c r="D78" t="s">
        <v>1023</v>
      </c>
      <c r="Z78">
        <v>76</v>
      </c>
      <c r="AA78" t="s">
        <v>1025</v>
      </c>
      <c r="AB78" t="s">
        <v>1026</v>
      </c>
      <c r="AD78" t="s">
        <v>1027</v>
      </c>
    </row>
    <row r="79" spans="1:30">
      <c r="A79" t="s">
        <v>1028</v>
      </c>
      <c r="B79" t="s">
        <v>1029</v>
      </c>
      <c r="C79" t="s">
        <v>1030</v>
      </c>
      <c r="D79" t="s">
        <v>1031</v>
      </c>
      <c r="Z79">
        <v>77</v>
      </c>
      <c r="AA79" t="s">
        <v>1032</v>
      </c>
      <c r="AB79" t="s">
        <v>1033</v>
      </c>
      <c r="AD79" t="s">
        <v>1034</v>
      </c>
    </row>
    <row r="80" spans="1:30">
      <c r="A80" t="s">
        <v>1035</v>
      </c>
      <c r="B80" t="s">
        <v>1036</v>
      </c>
      <c r="C80" t="s">
        <v>1037</v>
      </c>
      <c r="D80" t="s">
        <v>1038</v>
      </c>
      <c r="Z80">
        <v>78</v>
      </c>
      <c r="AA80" t="s">
        <v>1039</v>
      </c>
      <c r="AB80" t="s">
        <v>1040</v>
      </c>
      <c r="AD80" t="s">
        <v>1041</v>
      </c>
    </row>
    <row r="81" spans="1:30">
      <c r="A81" t="s">
        <v>1042</v>
      </c>
      <c r="B81" t="s">
        <v>1043</v>
      </c>
      <c r="C81" t="s">
        <v>1044</v>
      </c>
      <c r="D81" t="s">
        <v>1045</v>
      </c>
      <c r="Z81">
        <v>79</v>
      </c>
    </row>
    <row r="82" spans="1:30">
      <c r="A82" t="s">
        <v>1046</v>
      </c>
      <c r="B82" t="s">
        <v>1047</v>
      </c>
      <c r="C82" t="s">
        <v>1048</v>
      </c>
      <c r="D82" t="s">
        <v>1049</v>
      </c>
      <c r="Z82">
        <v>80</v>
      </c>
      <c r="AA82" t="s">
        <v>1050</v>
      </c>
      <c r="AB82" t="s">
        <v>1051</v>
      </c>
      <c r="AD82" t="s">
        <v>1052</v>
      </c>
    </row>
    <row r="83" spans="1:30">
      <c r="A83" t="s">
        <v>1053</v>
      </c>
      <c r="B83" t="s">
        <v>1054</v>
      </c>
      <c r="C83" t="s">
        <v>1055</v>
      </c>
      <c r="D83" t="s">
        <v>1056</v>
      </c>
      <c r="Z83">
        <v>81</v>
      </c>
      <c r="AA83" t="s">
        <v>1057</v>
      </c>
      <c r="AB83" t="s">
        <v>1058</v>
      </c>
      <c r="AD83" t="s">
        <v>1059</v>
      </c>
    </row>
    <row r="84" spans="1:30">
      <c r="A84" t="s">
        <v>1060</v>
      </c>
      <c r="B84" t="s">
        <v>1061</v>
      </c>
      <c r="C84" t="s">
        <v>1062</v>
      </c>
      <c r="D84" t="s">
        <v>1063</v>
      </c>
      <c r="Z84">
        <v>82</v>
      </c>
      <c r="AA84" t="s">
        <v>1064</v>
      </c>
      <c r="AB84" t="s">
        <v>1065</v>
      </c>
      <c r="AD84" t="s">
        <v>1066</v>
      </c>
    </row>
    <row r="85" spans="1:30">
      <c r="A85" t="s">
        <v>224</v>
      </c>
      <c r="B85" t="s">
        <v>1067</v>
      </c>
      <c r="C85" t="s">
        <v>1068</v>
      </c>
      <c r="D85" t="s">
        <v>1069</v>
      </c>
      <c r="Z85">
        <v>83</v>
      </c>
    </row>
    <row r="86" spans="1:30">
      <c r="A86" t="s">
        <v>230</v>
      </c>
      <c r="B86" t="s">
        <v>1070</v>
      </c>
      <c r="C86" t="s">
        <v>1071</v>
      </c>
      <c r="D86" t="s">
        <v>1072</v>
      </c>
      <c r="Z86">
        <v>84</v>
      </c>
    </row>
    <row r="87" spans="1:30">
      <c r="A87" t="s">
        <v>1073</v>
      </c>
      <c r="B87" t="s">
        <v>1074</v>
      </c>
      <c r="C87" t="s">
        <v>1075</v>
      </c>
      <c r="D87" s="3" t="s">
        <v>1290</v>
      </c>
      <c r="Z87">
        <v>85</v>
      </c>
      <c r="AA87" t="s">
        <v>1076</v>
      </c>
      <c r="AB87" t="s">
        <v>1077</v>
      </c>
      <c r="AC87" t="s">
        <v>1078</v>
      </c>
      <c r="AD87" t="s">
        <v>1079</v>
      </c>
    </row>
    <row r="88" spans="1:30">
      <c r="A88" t="s">
        <v>1080</v>
      </c>
      <c r="B88" t="s">
        <v>1081</v>
      </c>
      <c r="C88" t="s">
        <v>1082</v>
      </c>
      <c r="D88" t="s">
        <v>1083</v>
      </c>
      <c r="Z88">
        <v>86</v>
      </c>
    </row>
    <row r="89" spans="1:30">
      <c r="A89" t="s">
        <v>1084</v>
      </c>
      <c r="B89" t="s">
        <v>1085</v>
      </c>
      <c r="C89" t="s">
        <v>1082</v>
      </c>
      <c r="D89" t="s">
        <v>1086</v>
      </c>
      <c r="Z89">
        <v>87</v>
      </c>
    </row>
    <row r="90" spans="1:30">
      <c r="A90" t="s">
        <v>1087</v>
      </c>
      <c r="B90" t="s">
        <v>1088</v>
      </c>
      <c r="C90" t="s">
        <v>1089</v>
      </c>
      <c r="D90" t="s">
        <v>1090</v>
      </c>
      <c r="Z90">
        <v>88</v>
      </c>
      <c r="AA90" t="s">
        <v>1091</v>
      </c>
      <c r="AB90" t="s">
        <v>1092</v>
      </c>
      <c r="AD90" t="s">
        <v>1093</v>
      </c>
    </row>
    <row r="91" spans="1:30">
      <c r="A91" t="s">
        <v>1094</v>
      </c>
      <c r="B91" t="s">
        <v>1095</v>
      </c>
      <c r="C91" t="s">
        <v>1096</v>
      </c>
      <c r="D91" t="s">
        <v>1097</v>
      </c>
      <c r="Z91">
        <v>89</v>
      </c>
    </row>
    <row r="92" spans="1:30">
      <c r="A92" t="s">
        <v>1098</v>
      </c>
      <c r="B92" t="s">
        <v>1099</v>
      </c>
      <c r="C92" t="s">
        <v>1100</v>
      </c>
      <c r="D92" t="s">
        <v>1101</v>
      </c>
      <c r="Z92">
        <v>90</v>
      </c>
    </row>
    <row r="93" spans="1:30">
      <c r="A93" t="s">
        <v>1102</v>
      </c>
      <c r="B93" t="s">
        <v>1103</v>
      </c>
      <c r="C93" t="s">
        <v>1104</v>
      </c>
      <c r="D93" t="s">
        <v>1105</v>
      </c>
      <c r="Y93" t="s">
        <v>1106</v>
      </c>
      <c r="Z93">
        <v>91</v>
      </c>
      <c r="AA93" t="s">
        <v>659</v>
      </c>
      <c r="AB93" t="s">
        <v>659</v>
      </c>
      <c r="AD93" t="s">
        <v>659</v>
      </c>
    </row>
    <row r="94" spans="1:30">
      <c r="A94" t="s">
        <v>1107</v>
      </c>
      <c r="B94" t="s">
        <v>1108</v>
      </c>
      <c r="C94" t="s">
        <v>1109</v>
      </c>
      <c r="D94" t="s">
        <v>1110</v>
      </c>
      <c r="Y94" t="s">
        <v>1111</v>
      </c>
      <c r="Z94">
        <v>92</v>
      </c>
      <c r="AA94" t="s">
        <v>679</v>
      </c>
      <c r="AB94" s="3" t="s">
        <v>1291</v>
      </c>
      <c r="AD94" t="s">
        <v>681</v>
      </c>
    </row>
    <row r="95" spans="1:30">
      <c r="A95" t="s">
        <v>1112</v>
      </c>
      <c r="B95" t="s">
        <v>1113</v>
      </c>
      <c r="D95" t="s">
        <v>1114</v>
      </c>
      <c r="Y95" t="s">
        <v>1115</v>
      </c>
      <c r="Z95">
        <v>93</v>
      </c>
      <c r="AA95" s="3" t="s">
        <v>1292</v>
      </c>
      <c r="AB95" s="3" t="s">
        <v>1293</v>
      </c>
      <c r="AD95" t="s">
        <v>1116</v>
      </c>
    </row>
    <row r="96" spans="1:30">
      <c r="A96" t="s">
        <v>1117</v>
      </c>
      <c r="B96" t="s">
        <v>1118</v>
      </c>
      <c r="C96" t="s">
        <v>1119</v>
      </c>
      <c r="D96" t="s">
        <v>1120</v>
      </c>
      <c r="Y96" t="s">
        <v>1121</v>
      </c>
      <c r="Z96">
        <v>94</v>
      </c>
      <c r="AA96" s="3" t="s">
        <v>1294</v>
      </c>
      <c r="AB96" s="3" t="s">
        <v>1295</v>
      </c>
      <c r="AD96" s="3" t="s">
        <v>1296</v>
      </c>
    </row>
    <row r="97" spans="1:30">
      <c r="A97" t="s">
        <v>1122</v>
      </c>
      <c r="B97" t="s">
        <v>1123</v>
      </c>
      <c r="C97" t="s">
        <v>1124</v>
      </c>
      <c r="D97" t="s">
        <v>1125</v>
      </c>
      <c r="Y97" t="s">
        <v>1126</v>
      </c>
      <c r="Z97">
        <v>95</v>
      </c>
      <c r="AA97" s="3" t="s">
        <v>1297</v>
      </c>
      <c r="AB97" s="3" t="s">
        <v>1298</v>
      </c>
      <c r="AD97" t="s">
        <v>705</v>
      </c>
    </row>
    <row r="98" spans="1:30">
      <c r="A98" t="s">
        <v>1127</v>
      </c>
      <c r="B98" t="s">
        <v>1128</v>
      </c>
      <c r="C98" t="s">
        <v>1129</v>
      </c>
      <c r="D98" t="s">
        <v>1130</v>
      </c>
      <c r="Y98" t="s">
        <v>1131</v>
      </c>
      <c r="Z98">
        <v>96</v>
      </c>
      <c r="AA98" s="3" t="s">
        <v>1299</v>
      </c>
      <c r="AB98" s="3" t="s">
        <v>1300</v>
      </c>
      <c r="AD98" t="s">
        <v>1132</v>
      </c>
    </row>
    <row r="99" spans="1:30">
      <c r="A99" t="s">
        <v>1133</v>
      </c>
      <c r="B99" t="s">
        <v>1134</v>
      </c>
      <c r="C99" t="s">
        <v>1135</v>
      </c>
      <c r="D99" t="s">
        <v>1136</v>
      </c>
      <c r="Y99" t="s">
        <v>780</v>
      </c>
      <c r="Z99">
        <v>97</v>
      </c>
      <c r="AA99" s="3" t="s">
        <v>1301</v>
      </c>
      <c r="AB99" s="3" t="s">
        <v>1302</v>
      </c>
      <c r="AD99" t="s">
        <v>783</v>
      </c>
    </row>
    <row r="100" spans="1:30">
      <c r="A100" t="s">
        <v>1137</v>
      </c>
      <c r="B100" t="s">
        <v>1138</v>
      </c>
      <c r="C100" t="s">
        <v>1139</v>
      </c>
      <c r="D100" t="s">
        <v>1140</v>
      </c>
      <c r="Y100" t="s">
        <v>794</v>
      </c>
      <c r="Z100">
        <v>98</v>
      </c>
      <c r="AA100" s="3" t="s">
        <v>1303</v>
      </c>
      <c r="AB100" s="3" t="s">
        <v>1304</v>
      </c>
      <c r="AD100" t="s">
        <v>1141</v>
      </c>
    </row>
    <row r="101" spans="1:30">
      <c r="A101" t="s">
        <v>1142</v>
      </c>
      <c r="B101" t="s">
        <v>1143</v>
      </c>
      <c r="C101" t="s">
        <v>1144</v>
      </c>
      <c r="D101" t="s">
        <v>1145</v>
      </c>
      <c r="Y101" t="s">
        <v>1146</v>
      </c>
      <c r="Z101">
        <v>99</v>
      </c>
      <c r="AA101" t="s">
        <v>670</v>
      </c>
      <c r="AB101" t="s">
        <v>670</v>
      </c>
      <c r="AD101" t="s">
        <v>670</v>
      </c>
    </row>
    <row r="102" spans="1:30">
      <c r="A102" t="s">
        <v>1147</v>
      </c>
      <c r="B102" t="s">
        <v>1148</v>
      </c>
      <c r="C102" t="s">
        <v>1149</v>
      </c>
      <c r="D102" t="s">
        <v>1150</v>
      </c>
      <c r="Y102" t="s">
        <v>692</v>
      </c>
      <c r="Z102">
        <v>100</v>
      </c>
      <c r="AA102" s="3" t="s">
        <v>1305</v>
      </c>
      <c r="AB102" s="3" t="s">
        <v>1306</v>
      </c>
      <c r="AD102" s="3" t="s">
        <v>1307</v>
      </c>
    </row>
    <row r="103" spans="1:30">
      <c r="A103" t="s">
        <v>1151</v>
      </c>
      <c r="B103" t="s">
        <v>1152</v>
      </c>
      <c r="C103" t="s">
        <v>1153</v>
      </c>
      <c r="D103" t="s">
        <v>1154</v>
      </c>
      <c r="Y103" t="s">
        <v>1155</v>
      </c>
      <c r="Z103">
        <v>101</v>
      </c>
      <c r="AA103" s="3" t="s">
        <v>1308</v>
      </c>
      <c r="AB103" s="3" t="s">
        <v>1309</v>
      </c>
      <c r="AD103" s="3" t="s">
        <v>1310</v>
      </c>
    </row>
    <row r="104" spans="1:30">
      <c r="A104" t="s">
        <v>1156</v>
      </c>
      <c r="B104" t="s">
        <v>1157</v>
      </c>
      <c r="C104" t="s">
        <v>1158</v>
      </c>
      <c r="D104" t="s">
        <v>1159</v>
      </c>
      <c r="Y104" t="s">
        <v>1160</v>
      </c>
      <c r="Z104">
        <v>102</v>
      </c>
      <c r="AA104" t="s">
        <v>1161</v>
      </c>
      <c r="AB104" t="s">
        <v>1162</v>
      </c>
      <c r="AD104" t="s">
        <v>1132</v>
      </c>
    </row>
    <row r="105" spans="1:30">
      <c r="A105" t="s">
        <v>1163</v>
      </c>
      <c r="B105" t="s">
        <v>1164</v>
      </c>
      <c r="C105" t="s">
        <v>1165</v>
      </c>
      <c r="D105" t="s">
        <v>1166</v>
      </c>
      <c r="Z105">
        <v>103</v>
      </c>
    </row>
    <row r="106" spans="1:30">
      <c r="A106" t="s">
        <v>1167</v>
      </c>
      <c r="B106" t="s">
        <v>1168</v>
      </c>
      <c r="C106" t="s">
        <v>1169</v>
      </c>
      <c r="D106" t="s">
        <v>1170</v>
      </c>
      <c r="Z106">
        <v>104</v>
      </c>
    </row>
    <row r="107" spans="1:30">
      <c r="A107" t="s">
        <v>1171</v>
      </c>
      <c r="B107" t="s">
        <v>1172</v>
      </c>
      <c r="C107" t="s">
        <v>1173</v>
      </c>
      <c r="D107" t="s">
        <v>1174</v>
      </c>
      <c r="Z107">
        <v>105</v>
      </c>
    </row>
    <row r="108" spans="1:30">
      <c r="A108" t="s">
        <v>1175</v>
      </c>
      <c r="B108" t="s">
        <v>1176</v>
      </c>
      <c r="D108" t="s">
        <v>1177</v>
      </c>
      <c r="Z108">
        <v>106</v>
      </c>
    </row>
    <row r="109" spans="1:30">
      <c r="A109" t="s">
        <v>1178</v>
      </c>
      <c r="B109" t="s">
        <v>1179</v>
      </c>
      <c r="C109" t="s">
        <v>1180</v>
      </c>
      <c r="D109" t="s">
        <v>1181</v>
      </c>
      <c r="Z109">
        <v>107</v>
      </c>
    </row>
    <row r="110" spans="1:30">
      <c r="A110" t="s">
        <v>1182</v>
      </c>
      <c r="B110" t="s">
        <v>1183</v>
      </c>
      <c r="C110" t="s">
        <v>1184</v>
      </c>
      <c r="D110" t="s">
        <v>1185</v>
      </c>
      <c r="Z110">
        <v>108</v>
      </c>
    </row>
    <row r="111" spans="1:30">
      <c r="A111" t="s">
        <v>1186</v>
      </c>
      <c r="B111" t="s">
        <v>1187</v>
      </c>
      <c r="C111" t="s">
        <v>1188</v>
      </c>
      <c r="D111" t="s">
        <v>1189</v>
      </c>
      <c r="Z111">
        <v>109</v>
      </c>
    </row>
    <row r="112" spans="1:30">
      <c r="A112" t="s">
        <v>1190</v>
      </c>
      <c r="B112" t="s">
        <v>1191</v>
      </c>
      <c r="C112" t="s">
        <v>1192</v>
      </c>
      <c r="D112" t="s">
        <v>1193</v>
      </c>
      <c r="Z112">
        <v>110</v>
      </c>
      <c r="AA112" t="s">
        <v>1194</v>
      </c>
      <c r="AB112" t="s">
        <v>1195</v>
      </c>
      <c r="AD112" t="s">
        <v>1196</v>
      </c>
    </row>
    <row r="113" spans="1:30">
      <c r="A113" t="s">
        <v>1197</v>
      </c>
      <c r="B113" t="s">
        <v>1198</v>
      </c>
      <c r="C113" t="s">
        <v>1199</v>
      </c>
      <c r="D113" t="s">
        <v>1200</v>
      </c>
      <c r="Z113">
        <v>111</v>
      </c>
      <c r="AA113" t="s">
        <v>1201</v>
      </c>
      <c r="AB113" t="s">
        <v>1202</v>
      </c>
      <c r="AD113" t="s">
        <v>1203</v>
      </c>
    </row>
    <row r="114" spans="1:30">
      <c r="A114" t="s">
        <v>1204</v>
      </c>
      <c r="B114" t="s">
        <v>1205</v>
      </c>
      <c r="C114" t="s">
        <v>1206</v>
      </c>
      <c r="D114" t="s">
        <v>1207</v>
      </c>
      <c r="Z114">
        <v>112</v>
      </c>
      <c r="AA114" t="s">
        <v>1208</v>
      </c>
      <c r="AB114" t="s">
        <v>1209</v>
      </c>
      <c r="AD114" t="s">
        <v>1210</v>
      </c>
    </row>
    <row r="115" spans="1:30">
      <c r="A115" t="s">
        <v>1211</v>
      </c>
      <c r="B115" t="s">
        <v>1212</v>
      </c>
      <c r="C115" t="s">
        <v>1213</v>
      </c>
      <c r="D115" t="s">
        <v>1214</v>
      </c>
      <c r="Z115">
        <v>113</v>
      </c>
      <c r="AA115" t="s">
        <v>1215</v>
      </c>
      <c r="AB115" t="s">
        <v>1216</v>
      </c>
      <c r="AD115" t="s">
        <v>1217</v>
      </c>
    </row>
    <row r="116" spans="1:30">
      <c r="A116" t="s">
        <v>1218</v>
      </c>
      <c r="B116" t="s">
        <v>1219</v>
      </c>
      <c r="C116" t="s">
        <v>1220</v>
      </c>
      <c r="D116" t="s">
        <v>1221</v>
      </c>
      <c r="Z116">
        <v>114</v>
      </c>
      <c r="AA116" t="s">
        <v>1222</v>
      </c>
      <c r="AB116" t="s">
        <v>1223</v>
      </c>
      <c r="AD116" t="s">
        <v>1224</v>
      </c>
    </row>
    <row r="117" spans="1:30">
      <c r="A117" t="s">
        <v>1225</v>
      </c>
      <c r="B117" t="s">
        <v>1226</v>
      </c>
      <c r="C117" t="s">
        <v>1227</v>
      </c>
      <c r="D117" t="s">
        <v>1228</v>
      </c>
    </row>
    <row r="118" spans="1:30">
      <c r="A118" t="s">
        <v>1229</v>
      </c>
      <c r="B118" t="s">
        <v>1230</v>
      </c>
      <c r="C118" t="s">
        <v>1231</v>
      </c>
      <c r="D118" t="s">
        <v>1232</v>
      </c>
    </row>
    <row r="119" spans="1:30">
      <c r="A119" t="s">
        <v>1233</v>
      </c>
      <c r="B119" t="s">
        <v>1233</v>
      </c>
      <c r="C119" t="s">
        <v>1233</v>
      </c>
      <c r="D119" t="s">
        <v>1233</v>
      </c>
    </row>
    <row r="120" spans="1:30">
      <c r="A120" t="s">
        <v>1234</v>
      </c>
      <c r="B120" t="s">
        <v>1235</v>
      </c>
      <c r="C120" t="s">
        <v>1236</v>
      </c>
      <c r="D120" t="s">
        <v>1237</v>
      </c>
    </row>
    <row r="121" spans="1:30">
      <c r="A121" t="s">
        <v>775</v>
      </c>
      <c r="B121" t="s">
        <v>775</v>
      </c>
      <c r="C121" t="s">
        <v>828</v>
      </c>
      <c r="D121" t="s">
        <v>775</v>
      </c>
    </row>
    <row r="122" spans="1:30">
      <c r="A122" t="s">
        <v>652</v>
      </c>
      <c r="B122" t="s">
        <v>1238</v>
      </c>
      <c r="C122" t="s">
        <v>1239</v>
      </c>
      <c r="D122" t="s">
        <v>1240</v>
      </c>
    </row>
    <row r="123" spans="1:30">
      <c r="A123" t="s">
        <v>1241</v>
      </c>
      <c r="B123" t="s">
        <v>1242</v>
      </c>
      <c r="C123" t="s">
        <v>1243</v>
      </c>
      <c r="D123" t="s">
        <v>1244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Readme</vt:lpstr>
      <vt:lpstr>Backup_Calc_Input</vt:lpstr>
      <vt:lpstr>InputChange</vt:lpstr>
      <vt:lpstr>Grafquelle</vt:lpstr>
      <vt:lpstr>Grafiken</vt:lpstr>
      <vt:lpstr>Speisungen</vt:lpstr>
      <vt:lpstr>Unterkategorien</vt:lpstr>
      <vt:lpstr>Kategorien</vt:lpstr>
      <vt:lpstr>Zusammenfassung</vt:lpstr>
      <vt:lpstr>Roh-Resultate</vt:lpstr>
      <vt:lpstr>Baum</vt:lpstr>
      <vt:lpstr>Backup1</vt:lpstr>
      <vt:lpstr>Backup2</vt:lpstr>
      <vt:lpstr>Eingaben</vt:lpstr>
      <vt:lpstr>Datenbank-Geräte</vt:lpstr>
      <vt:lpstr>Konfiguration</vt:lpstr>
      <vt:lpstr>Stammdaten</vt:lpstr>
      <vt:lpstr>DB_ML_Pack</vt:lpstr>
    </vt:vector>
  </TitlesOfParts>
  <Company>IT Services Hochschule Luzern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Zakovorotnyi Andrii HSLU T&amp;A</dc:creator>
  <cp:lastModifiedBy>k_working</cp:lastModifiedBy>
  <dcterms:created xsi:type="dcterms:W3CDTF">2020-11-13T08:46:08Z</dcterms:created>
  <dcterms:modified xsi:type="dcterms:W3CDTF">2023-06-15T12:27:44Z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8b0afbd-3cf7-4707-aee4-8dc9d855de29_Enabled">
    <vt:lpwstr>true</vt:lpwstr>
  </property>
  <property fmtid="{D5CDD505-2E9C-101B-9397-08002B2CF9AE}" pid="3" name="MSIP_Label_e8b0afbd-3cf7-4707-aee4-8dc9d855de29_SetDate">
    <vt:lpwstr>2023-05-08T17:23:20Z</vt:lpwstr>
  </property>
  <property fmtid="{D5CDD505-2E9C-101B-9397-08002B2CF9AE}" pid="4" name="MSIP_Label_e8b0afbd-3cf7-4707-aee4-8dc9d855de29_Method">
    <vt:lpwstr>Standard</vt:lpwstr>
  </property>
  <property fmtid="{D5CDD505-2E9C-101B-9397-08002B2CF9AE}" pid="5" name="MSIP_Label_e8b0afbd-3cf7-4707-aee4-8dc9d855de29_Name">
    <vt:lpwstr>intern</vt:lpwstr>
  </property>
  <property fmtid="{D5CDD505-2E9C-101B-9397-08002B2CF9AE}" pid="6" name="MSIP_Label_e8b0afbd-3cf7-4707-aee4-8dc9d855de29_SiteId">
    <vt:lpwstr>75a34008-d7d1-4924-8e78-31fea86f6e68</vt:lpwstr>
  </property>
  <property fmtid="{D5CDD505-2E9C-101B-9397-08002B2CF9AE}" pid="7" name="MSIP_Label_e8b0afbd-3cf7-4707-aee4-8dc9d855de29_ActionId">
    <vt:lpwstr>2d08503a-af19-44d3-b275-c2f1000ba515</vt:lpwstr>
  </property>
  <property fmtid="{D5CDD505-2E9C-101B-9397-08002B2CF9AE}" pid="8" name="MSIP_Label_e8b0afbd-3cf7-4707-aee4-8dc9d855de29_ContentBits">
    <vt:lpwstr>0</vt:lpwstr>
  </property>
</Properties>
</file>